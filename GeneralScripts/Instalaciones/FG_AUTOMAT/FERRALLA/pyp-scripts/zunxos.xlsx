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as\Documents\Nemetschek\Allplan\2025\Usr\Local\"/>
    </mc:Choice>
  </mc:AlternateContent>
  <xr:revisionPtr revIDLastSave="0" documentId="13_ncr:1_{6AC3F5E1-5465-4D67-B47D-9CA77C939D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E2022 2 PECES" sheetId="9" r:id="rId1"/>
    <sheet name="COPIA" sheetId="8" r:id="rId2"/>
    <sheet name="CE2022 2 PECES_old" sheetId="6" r:id="rId3"/>
    <sheet name="Full2" sheetId="2" r:id="rId4"/>
    <sheet name="Full3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6" i="9" l="1"/>
  <c r="AT93" i="9"/>
  <c r="X96" i="9" s="1"/>
  <c r="AS93" i="9"/>
  <c r="AU93" i="9" s="1"/>
  <c r="AR93" i="9"/>
  <c r="AG93" i="9"/>
  <c r="U96" i="9" s="1"/>
  <c r="AF93" i="9"/>
  <c r="T96" i="9" s="1"/>
  <c r="AE93" i="9"/>
  <c r="AU92" i="9"/>
  <c r="AT92" i="9"/>
  <c r="X95" i="9" s="1"/>
  <c r="AS92" i="9"/>
  <c r="W95" i="9" s="1"/>
  <c r="AR92" i="9"/>
  <c r="AV92" i="9" s="1"/>
  <c r="AG92" i="9"/>
  <c r="U95" i="9" s="1"/>
  <c r="AF92" i="9"/>
  <c r="AI92" i="9" s="1"/>
  <c r="AE92" i="9"/>
  <c r="C91" i="9"/>
  <c r="B91" i="9"/>
  <c r="R86" i="9" s="1"/>
  <c r="U86" i="9" s="1"/>
  <c r="AX87" i="9"/>
  <c r="AW87" i="9"/>
  <c r="AZ87" i="9" s="1"/>
  <c r="BA87" i="9" s="1"/>
  <c r="AT87" i="9"/>
  <c r="AS87" i="9"/>
  <c r="AR87" i="9"/>
  <c r="AH87" i="9"/>
  <c r="AG87" i="9"/>
  <c r="AF87" i="9"/>
  <c r="AE87" i="9"/>
  <c r="AB87" i="9"/>
  <c r="J87" i="9" s="1"/>
  <c r="V96" i="9" s="1"/>
  <c r="Y87" i="9"/>
  <c r="AD87" i="9" s="1"/>
  <c r="K87" i="9" s="1"/>
  <c r="X87" i="9"/>
  <c r="W87" i="9"/>
  <c r="T87" i="9"/>
  <c r="I87" i="9" s="1"/>
  <c r="S87" i="9"/>
  <c r="R87" i="9"/>
  <c r="U87" i="9" s="1"/>
  <c r="AX86" i="9"/>
  <c r="AW86" i="9"/>
  <c r="AZ86" i="9" s="1"/>
  <c r="BA86" i="9" s="1"/>
  <c r="AT86" i="9"/>
  <c r="AS86" i="9"/>
  <c r="AR86" i="9"/>
  <c r="AM86" i="9"/>
  <c r="AO86" i="9" s="1"/>
  <c r="AP86" i="9" s="1"/>
  <c r="AH86" i="9"/>
  <c r="AF86" i="9"/>
  <c r="AE86" i="9"/>
  <c r="AB86" i="9"/>
  <c r="X86" i="9"/>
  <c r="W86" i="9"/>
  <c r="T86" i="9"/>
  <c r="Y86" i="9" s="1"/>
  <c r="S86" i="9"/>
  <c r="V86" i="9" s="1"/>
  <c r="J86" i="9"/>
  <c r="V95" i="9" s="1"/>
  <c r="I86" i="9"/>
  <c r="B85" i="9"/>
  <c r="AG86" i="9" s="1"/>
  <c r="Y74" i="9"/>
  <c r="T74" i="9"/>
  <c r="U73" i="9"/>
  <c r="C72" i="9"/>
  <c r="S67" i="9" s="1"/>
  <c r="B72" i="9"/>
  <c r="W69" i="9"/>
  <c r="AX68" i="9"/>
  <c r="AW68" i="9"/>
  <c r="AZ68" i="9" s="1"/>
  <c r="BA68" i="9" s="1"/>
  <c r="AU68" i="9"/>
  <c r="AT68" i="9"/>
  <c r="U74" i="9" s="1"/>
  <c r="AS68" i="9"/>
  <c r="AR68" i="9"/>
  <c r="AV68" i="9" s="1"/>
  <c r="AH68" i="9"/>
  <c r="AF68" i="9"/>
  <c r="W74" i="9" s="1"/>
  <c r="AE68" i="9"/>
  <c r="AB68" i="9"/>
  <c r="X68" i="9"/>
  <c r="W68" i="9"/>
  <c r="T68" i="9"/>
  <c r="Y68" i="9" s="1"/>
  <c r="R68" i="9"/>
  <c r="J68" i="9"/>
  <c r="V74" i="9" s="1"/>
  <c r="I68" i="9"/>
  <c r="AW67" i="9"/>
  <c r="AZ67" i="9" s="1"/>
  <c r="AT67" i="9"/>
  <c r="AS67" i="9"/>
  <c r="T73" i="9" s="1"/>
  <c r="AR67" i="9"/>
  <c r="AH67" i="9"/>
  <c r="AG67" i="9"/>
  <c r="AF67" i="9"/>
  <c r="W73" i="9" s="1"/>
  <c r="AE67" i="9"/>
  <c r="AB67" i="9"/>
  <c r="J67" i="9" s="1"/>
  <c r="V73" i="9" s="1"/>
  <c r="X67" i="9"/>
  <c r="W67" i="9"/>
  <c r="T67" i="9"/>
  <c r="U67" i="9" s="1"/>
  <c r="R67" i="9"/>
  <c r="B66" i="9"/>
  <c r="AG68" i="9" s="1"/>
  <c r="X74" i="9" s="1"/>
  <c r="T54" i="9"/>
  <c r="C53" i="9"/>
  <c r="B53" i="9"/>
  <c r="R49" i="9" s="1"/>
  <c r="U49" i="9" s="1"/>
  <c r="AX49" i="9"/>
  <c r="AU49" i="9"/>
  <c r="AT49" i="9"/>
  <c r="U55" i="9" s="1"/>
  <c r="AS49" i="9"/>
  <c r="T55" i="9" s="1"/>
  <c r="AR49" i="9"/>
  <c r="AV49" i="9" s="1"/>
  <c r="AM49" i="9"/>
  <c r="AL49" i="9"/>
  <c r="AH49" i="9"/>
  <c r="AF49" i="9"/>
  <c r="W55" i="9" s="1"/>
  <c r="AE49" i="9"/>
  <c r="Y49" i="9"/>
  <c r="X49" i="9"/>
  <c r="W49" i="9"/>
  <c r="T49" i="9"/>
  <c r="S49" i="9"/>
  <c r="J49" i="9"/>
  <c r="V55" i="9" s="1"/>
  <c r="AZ48" i="9"/>
  <c r="AX48" i="9"/>
  <c r="BA48" i="9" s="1"/>
  <c r="AW48" i="9"/>
  <c r="AT48" i="9"/>
  <c r="U54" i="9" s="1"/>
  <c r="AS48" i="9"/>
  <c r="AU48" i="9" s="1"/>
  <c r="AR48" i="9"/>
  <c r="AM48" i="9"/>
  <c r="AL48" i="9"/>
  <c r="AH48" i="9"/>
  <c r="AF48" i="9"/>
  <c r="W54" i="9" s="1"/>
  <c r="AE48" i="9"/>
  <c r="Y48" i="9"/>
  <c r="J48" i="9" s="1"/>
  <c r="V54" i="9" s="1"/>
  <c r="X48" i="9"/>
  <c r="W48" i="9"/>
  <c r="T48" i="9"/>
  <c r="S48" i="9"/>
  <c r="B47" i="9"/>
  <c r="AG48" i="9" s="1"/>
  <c r="U36" i="9"/>
  <c r="W35" i="9"/>
  <c r="T35" i="9"/>
  <c r="C34" i="9"/>
  <c r="B34" i="9"/>
  <c r="AX30" i="9"/>
  <c r="AW30" i="9"/>
  <c r="AZ30" i="9" s="1"/>
  <c r="BA30" i="9" s="1"/>
  <c r="AU30" i="9"/>
  <c r="AT30" i="9"/>
  <c r="AS30" i="9"/>
  <c r="T36" i="9" s="1"/>
  <c r="AR30" i="9"/>
  <c r="AV30" i="9" s="1"/>
  <c r="AM30" i="9"/>
  <c r="AL30" i="9"/>
  <c r="AH30" i="9"/>
  <c r="AG30" i="9"/>
  <c r="X36" i="9" s="1"/>
  <c r="AF30" i="9"/>
  <c r="W36" i="9" s="1"/>
  <c r="AE30" i="9"/>
  <c r="Y30" i="9"/>
  <c r="X30" i="9"/>
  <c r="W30" i="9"/>
  <c r="T30" i="9"/>
  <c r="S30" i="9"/>
  <c r="R30" i="9"/>
  <c r="U30" i="9" s="1"/>
  <c r="V30" i="9" s="1"/>
  <c r="I30" i="9"/>
  <c r="AZ29" i="9"/>
  <c r="AX29" i="9"/>
  <c r="BA29" i="9" s="1"/>
  <c r="AW29" i="9"/>
  <c r="AT29" i="9"/>
  <c r="U35" i="9" s="1"/>
  <c r="AS29" i="9"/>
  <c r="AU29" i="9" s="1"/>
  <c r="AV29" i="9" s="1"/>
  <c r="AR29" i="9"/>
  <c r="AN29" i="9"/>
  <c r="AM29" i="9"/>
  <c r="AO29" i="9" s="1"/>
  <c r="AL29" i="9"/>
  <c r="AP29" i="9" s="1"/>
  <c r="AH29" i="9"/>
  <c r="AF29" i="9"/>
  <c r="AE29" i="9"/>
  <c r="Y29" i="9"/>
  <c r="X29" i="9"/>
  <c r="W29" i="9"/>
  <c r="T29" i="9"/>
  <c r="U29" i="9" s="1"/>
  <c r="V29" i="9" s="1"/>
  <c r="S29" i="9"/>
  <c r="R29" i="9"/>
  <c r="J29" i="9"/>
  <c r="V35" i="9" s="1"/>
  <c r="B28" i="9"/>
  <c r="AG29" i="9" s="1"/>
  <c r="W17" i="9"/>
  <c r="U17" i="9"/>
  <c r="T16" i="9"/>
  <c r="C15" i="9"/>
  <c r="AX11" i="9"/>
  <c r="AW11" i="9"/>
  <c r="AZ11" i="9" s="1"/>
  <c r="AT11" i="9"/>
  <c r="AS11" i="9"/>
  <c r="AU11" i="9" s="1"/>
  <c r="AV11" i="9" s="1"/>
  <c r="AR11" i="9"/>
  <c r="AN11" i="9"/>
  <c r="AM11" i="9"/>
  <c r="AO11" i="9" s="1"/>
  <c r="AP11" i="9" s="1"/>
  <c r="AL11" i="9"/>
  <c r="AH11" i="9"/>
  <c r="AG11" i="9"/>
  <c r="X17" i="9" s="1"/>
  <c r="AF11" i="9"/>
  <c r="AE11" i="9"/>
  <c r="Z11" i="9"/>
  <c r="AA11" i="9" s="1"/>
  <c r="Y11" i="9"/>
  <c r="AB11" i="9" s="1"/>
  <c r="X11" i="9"/>
  <c r="W11" i="9"/>
  <c r="U11" i="9"/>
  <c r="T11" i="9"/>
  <c r="I11" i="9" s="1"/>
  <c r="Y17" i="9" s="1"/>
  <c r="S11" i="9"/>
  <c r="V11" i="9" s="1"/>
  <c r="R11" i="9"/>
  <c r="J11" i="9"/>
  <c r="V17" i="9" s="1"/>
  <c r="AX10" i="9"/>
  <c r="AW10" i="9"/>
  <c r="AZ10" i="9" s="1"/>
  <c r="BA10" i="9" s="1"/>
  <c r="AU10" i="9"/>
  <c r="AT10" i="9"/>
  <c r="U16" i="9" s="1"/>
  <c r="AS10" i="9"/>
  <c r="AR10" i="9"/>
  <c r="AV10" i="9" s="1"/>
  <c r="AO10" i="9"/>
  <c r="AN10" i="9"/>
  <c r="AM10" i="9"/>
  <c r="AL10" i="9"/>
  <c r="AP10" i="9" s="1"/>
  <c r="AH10" i="9"/>
  <c r="AG10" i="9"/>
  <c r="X16" i="9" s="1"/>
  <c r="AF10" i="9"/>
  <c r="W16" i="9" s="1"/>
  <c r="AE10" i="9"/>
  <c r="Z10" i="9"/>
  <c r="Y10" i="9"/>
  <c r="J10" i="9" s="1"/>
  <c r="X10" i="9"/>
  <c r="W10" i="9"/>
  <c r="T10" i="9"/>
  <c r="S10" i="9"/>
  <c r="V10" i="9" s="1"/>
  <c r="R10" i="9"/>
  <c r="U10" i="9" s="1"/>
  <c r="K10" i="9"/>
  <c r="I10" i="9"/>
  <c r="B9" i="9"/>
  <c r="K10" i="8"/>
  <c r="AV93" i="8"/>
  <c r="AV92" i="8"/>
  <c r="BA87" i="8"/>
  <c r="AV87" i="8"/>
  <c r="AJ87" i="8"/>
  <c r="AA87" i="8"/>
  <c r="V87" i="8"/>
  <c r="BA86" i="8"/>
  <c r="AV86" i="8"/>
  <c r="AP86" i="8"/>
  <c r="AJ86" i="8"/>
  <c r="AA86" i="8"/>
  <c r="V86" i="8"/>
  <c r="BA68" i="8"/>
  <c r="AJ68" i="8"/>
  <c r="AA68" i="8"/>
  <c r="V68" i="8"/>
  <c r="BA67" i="8"/>
  <c r="AJ67" i="8"/>
  <c r="AA67" i="8"/>
  <c r="V67" i="8"/>
  <c r="BA49" i="8"/>
  <c r="AP49" i="8"/>
  <c r="V49" i="8"/>
  <c r="BA48" i="8"/>
  <c r="AP48" i="8"/>
  <c r="V48" i="8"/>
  <c r="BA30" i="8"/>
  <c r="AV30" i="8"/>
  <c r="AP30" i="8"/>
  <c r="AJ30" i="8"/>
  <c r="AC30" i="8"/>
  <c r="V30" i="8"/>
  <c r="BA29" i="8"/>
  <c r="AV29" i="8"/>
  <c r="AP29" i="8"/>
  <c r="AJ29" i="8"/>
  <c r="AC29" i="8"/>
  <c r="V29" i="8"/>
  <c r="BA11" i="8"/>
  <c r="AV11" i="8"/>
  <c r="AP11" i="8"/>
  <c r="AJ11" i="8"/>
  <c r="AC11" i="8"/>
  <c r="V11" i="8"/>
  <c r="BA10" i="8"/>
  <c r="AV10" i="8"/>
  <c r="AP10" i="8"/>
  <c r="AJ10" i="8"/>
  <c r="AC10" i="8"/>
  <c r="V10" i="8"/>
  <c r="AB87" i="8"/>
  <c r="Y96" i="8"/>
  <c r="Y95" i="8"/>
  <c r="V96" i="8"/>
  <c r="V95" i="8"/>
  <c r="Y74" i="8"/>
  <c r="Y73" i="8"/>
  <c r="V74" i="8"/>
  <c r="V73" i="8"/>
  <c r="Y55" i="8"/>
  <c r="Y54" i="8"/>
  <c r="V55" i="8"/>
  <c r="V54" i="8"/>
  <c r="Y35" i="8"/>
  <c r="V36" i="8"/>
  <c r="V35" i="8"/>
  <c r="V16" i="8"/>
  <c r="V17" i="8"/>
  <c r="Y16" i="8"/>
  <c r="Y36" i="8"/>
  <c r="W16" i="8"/>
  <c r="Y17" i="8"/>
  <c r="X16" i="8"/>
  <c r="W68" i="8"/>
  <c r="W69" i="8"/>
  <c r="Z29" i="8"/>
  <c r="AD10" i="8"/>
  <c r="M10" i="8"/>
  <c r="X96" i="8"/>
  <c r="AU93" i="8"/>
  <c r="AT93" i="8"/>
  <c r="AS93" i="8"/>
  <c r="W96" i="8" s="1"/>
  <c r="AR93" i="8"/>
  <c r="AG93" i="8"/>
  <c r="U96" i="8" s="1"/>
  <c r="AF93" i="8"/>
  <c r="T96" i="8" s="1"/>
  <c r="AE93" i="8"/>
  <c r="AT92" i="8"/>
  <c r="X95" i="8" s="1"/>
  <c r="AS92" i="8"/>
  <c r="W95" i="8" s="1"/>
  <c r="AR92" i="8"/>
  <c r="AI92" i="8"/>
  <c r="AJ92" i="8" s="1"/>
  <c r="AG92" i="8"/>
  <c r="U95" i="8" s="1"/>
  <c r="AF92" i="8"/>
  <c r="T95" i="8" s="1"/>
  <c r="AE92" i="8"/>
  <c r="C91" i="8"/>
  <c r="AX86" i="8" s="1"/>
  <c r="B91" i="8"/>
  <c r="AX87" i="8"/>
  <c r="AW87" i="8"/>
  <c r="AZ87" i="8" s="1"/>
  <c r="AT87" i="8"/>
  <c r="AS87" i="8"/>
  <c r="AR87" i="8"/>
  <c r="AH87" i="8"/>
  <c r="AF87" i="8"/>
  <c r="AI87" i="8" s="1"/>
  <c r="AE87" i="8"/>
  <c r="J87" i="8"/>
  <c r="Y87" i="8"/>
  <c r="AD87" i="8" s="1"/>
  <c r="K87" i="8" s="1"/>
  <c r="X87" i="8"/>
  <c r="W87" i="8"/>
  <c r="T87" i="8"/>
  <c r="I87" i="8" s="1"/>
  <c r="R87" i="8"/>
  <c r="AW86" i="8"/>
  <c r="AZ86" i="8" s="1"/>
  <c r="AT86" i="8"/>
  <c r="AS86" i="8"/>
  <c r="AR86" i="8"/>
  <c r="AM86" i="8"/>
  <c r="AO86" i="8" s="1"/>
  <c r="AH86" i="8"/>
  <c r="AF86" i="8"/>
  <c r="AE86" i="8"/>
  <c r="AB86" i="8"/>
  <c r="J86" i="8" s="1"/>
  <c r="X86" i="8"/>
  <c r="W86" i="8"/>
  <c r="T86" i="8"/>
  <c r="U86" i="8" s="1"/>
  <c r="R86" i="8"/>
  <c r="B85" i="8"/>
  <c r="AG87" i="8" s="1"/>
  <c r="X74" i="8"/>
  <c r="W74" i="8"/>
  <c r="T74" i="8"/>
  <c r="C72" i="8"/>
  <c r="S68" i="8" s="1"/>
  <c r="B72" i="8"/>
  <c r="R67" i="8" s="1"/>
  <c r="AX68" i="8"/>
  <c r="AT68" i="8"/>
  <c r="U74" i="8" s="1"/>
  <c r="AS68" i="8"/>
  <c r="AR68" i="8"/>
  <c r="AH68" i="8"/>
  <c r="AG68" i="8"/>
  <c r="AF68" i="8"/>
  <c r="AE68" i="8"/>
  <c r="AB68" i="8"/>
  <c r="X68" i="8"/>
  <c r="T68" i="8"/>
  <c r="Y68" i="8" s="1"/>
  <c r="J68" i="8"/>
  <c r="AZ67" i="8"/>
  <c r="AW67" i="8"/>
  <c r="AT67" i="8"/>
  <c r="U73" i="8" s="1"/>
  <c r="AS67" i="8"/>
  <c r="T73" i="8" s="1"/>
  <c r="AR67" i="8"/>
  <c r="AH67" i="8"/>
  <c r="AG67" i="8"/>
  <c r="X73" i="8" s="1"/>
  <c r="AF67" i="8"/>
  <c r="W73" i="8" s="1"/>
  <c r="AE67" i="8"/>
  <c r="AB67" i="8"/>
  <c r="J67" i="8" s="1"/>
  <c r="X67" i="8"/>
  <c r="W67" i="8"/>
  <c r="T67" i="8"/>
  <c r="U67" i="8" s="1"/>
  <c r="B66" i="8"/>
  <c r="W55" i="8"/>
  <c r="T55" i="8"/>
  <c r="C53" i="8"/>
  <c r="AX49" i="8" s="1"/>
  <c r="B53" i="8"/>
  <c r="AW49" i="8" s="1"/>
  <c r="AZ49" i="8" s="1"/>
  <c r="AT49" i="8"/>
  <c r="AU49" i="8" s="1"/>
  <c r="AV49" i="8" s="1"/>
  <c r="AS49" i="8"/>
  <c r="AR49" i="8"/>
  <c r="AN49" i="8"/>
  <c r="AM49" i="8"/>
  <c r="AO49" i="8" s="1"/>
  <c r="AL49" i="8"/>
  <c r="AH49" i="8"/>
  <c r="AF49" i="8"/>
  <c r="AE49" i="8"/>
  <c r="Y49" i="8"/>
  <c r="X49" i="8"/>
  <c r="W49" i="8"/>
  <c r="T49" i="8"/>
  <c r="S49" i="8"/>
  <c r="J49" i="8"/>
  <c r="I49" i="8"/>
  <c r="AZ48" i="8"/>
  <c r="AX48" i="8"/>
  <c r="AW48" i="8"/>
  <c r="AT48" i="8"/>
  <c r="U54" i="8" s="1"/>
  <c r="AS48" i="8"/>
  <c r="AR48" i="8"/>
  <c r="AM48" i="8"/>
  <c r="AL48" i="8"/>
  <c r="AH48" i="8"/>
  <c r="AF48" i="8"/>
  <c r="W54" i="8" s="1"/>
  <c r="AE48" i="8"/>
  <c r="Y48" i="8"/>
  <c r="J48" i="8" s="1"/>
  <c r="X48" i="8"/>
  <c r="W48" i="8"/>
  <c r="T48" i="8"/>
  <c r="U48" i="8" s="1"/>
  <c r="R48" i="8"/>
  <c r="B47" i="8"/>
  <c r="AG48" i="8" s="1"/>
  <c r="W36" i="8"/>
  <c r="T36" i="8"/>
  <c r="C34" i="8"/>
  <c r="X29" i="8" s="1"/>
  <c r="B34" i="8"/>
  <c r="R30" i="8" s="1"/>
  <c r="AX30" i="8"/>
  <c r="AW30" i="8"/>
  <c r="AZ30" i="8" s="1"/>
  <c r="AT30" i="8"/>
  <c r="U36" i="8" s="1"/>
  <c r="AS30" i="8"/>
  <c r="AR30" i="8"/>
  <c r="AM30" i="8"/>
  <c r="AL30" i="8"/>
  <c r="AH30" i="8"/>
  <c r="AF30" i="8"/>
  <c r="AE30" i="8"/>
  <c r="Y30" i="8"/>
  <c r="W30" i="8"/>
  <c r="T30" i="8"/>
  <c r="I30" i="8" s="1"/>
  <c r="S30" i="8"/>
  <c r="J30" i="8"/>
  <c r="AX29" i="8"/>
  <c r="AW29" i="8"/>
  <c r="AZ29" i="8" s="1"/>
  <c r="AT29" i="8"/>
  <c r="U35" i="8" s="1"/>
  <c r="AS29" i="8"/>
  <c r="T35" i="8" s="1"/>
  <c r="AR29" i="8"/>
  <c r="AM29" i="8"/>
  <c r="AL29" i="8"/>
  <c r="AH29" i="8"/>
  <c r="AF29" i="8"/>
  <c r="AE29" i="8"/>
  <c r="Y29" i="8"/>
  <c r="W29" i="8"/>
  <c r="T29" i="8"/>
  <c r="S29" i="8"/>
  <c r="J29" i="8"/>
  <c r="B28" i="8"/>
  <c r="AG29" i="8" s="1"/>
  <c r="X17" i="8"/>
  <c r="U16" i="8"/>
  <c r="C15" i="8"/>
  <c r="AX10" i="8" s="1"/>
  <c r="AZ11" i="8"/>
  <c r="AX11" i="8"/>
  <c r="AW11" i="8"/>
  <c r="AT11" i="8"/>
  <c r="AS11" i="8"/>
  <c r="AU11" i="8" s="1"/>
  <c r="AR11" i="8"/>
  <c r="AN11" i="8"/>
  <c r="AM11" i="8"/>
  <c r="AO11" i="8" s="1"/>
  <c r="AL11" i="8"/>
  <c r="AH11" i="8"/>
  <c r="AG11" i="8"/>
  <c r="Z11" i="8" s="1"/>
  <c r="AF11" i="8"/>
  <c r="W17" i="8" s="1"/>
  <c r="AE11" i="8"/>
  <c r="Y11" i="8"/>
  <c r="X11" i="8"/>
  <c r="W11" i="8"/>
  <c r="T11" i="8"/>
  <c r="U11" i="8" s="1"/>
  <c r="R11" i="8"/>
  <c r="AW10" i="8"/>
  <c r="AZ10" i="8" s="1"/>
  <c r="AT10" i="8"/>
  <c r="AS10" i="8"/>
  <c r="T16" i="8" s="1"/>
  <c r="AR10" i="8"/>
  <c r="AN10" i="8"/>
  <c r="AO10" i="8" s="1"/>
  <c r="AM10" i="8"/>
  <c r="AL10" i="8"/>
  <c r="AH10" i="8"/>
  <c r="AG10" i="8"/>
  <c r="Z10" i="8" s="1"/>
  <c r="AF10" i="8"/>
  <c r="AE10" i="8"/>
  <c r="Y10" i="8"/>
  <c r="X10" i="8"/>
  <c r="W10" i="8"/>
  <c r="U10" i="8"/>
  <c r="T10" i="8"/>
  <c r="R10" i="8"/>
  <c r="J10" i="8"/>
  <c r="I10" i="8"/>
  <c r="B9" i="8"/>
  <c r="Z49" i="6"/>
  <c r="Z48" i="6"/>
  <c r="K15" i="6"/>
  <c r="Z30" i="6"/>
  <c r="Z29" i="6"/>
  <c r="Z11" i="6"/>
  <c r="K16" i="6"/>
  <c r="K10" i="6"/>
  <c r="Z10" i="6"/>
  <c r="AG10" i="6"/>
  <c r="Y36" i="6"/>
  <c r="Y35" i="6"/>
  <c r="Y16" i="6"/>
  <c r="Y96" i="6"/>
  <c r="Y95" i="6"/>
  <c r="X96" i="6"/>
  <c r="W96" i="6"/>
  <c r="V96" i="6"/>
  <c r="U96" i="6"/>
  <c r="T96" i="6"/>
  <c r="Y74" i="6"/>
  <c r="X74" i="6"/>
  <c r="W74" i="6"/>
  <c r="V74" i="6"/>
  <c r="U74" i="6"/>
  <c r="T74" i="6"/>
  <c r="Y55" i="6"/>
  <c r="X55" i="6"/>
  <c r="W55" i="6"/>
  <c r="V55" i="6"/>
  <c r="U55" i="6"/>
  <c r="T55" i="6"/>
  <c r="T54" i="6"/>
  <c r="X36" i="6"/>
  <c r="W36" i="6"/>
  <c r="V36" i="6"/>
  <c r="U36" i="6"/>
  <c r="T36" i="6"/>
  <c r="X54" i="6"/>
  <c r="X95" i="6"/>
  <c r="W95" i="6"/>
  <c r="U95" i="6"/>
  <c r="T95" i="6"/>
  <c r="X73" i="6"/>
  <c r="W73" i="6"/>
  <c r="U73" i="6"/>
  <c r="T73" i="6"/>
  <c r="W54" i="6"/>
  <c r="U54" i="6"/>
  <c r="X35" i="6"/>
  <c r="W35" i="6"/>
  <c r="U35" i="6"/>
  <c r="T35" i="6"/>
  <c r="Y17" i="6"/>
  <c r="X17" i="6"/>
  <c r="W17" i="6"/>
  <c r="V17" i="6"/>
  <c r="U17" i="6"/>
  <c r="T17" i="6"/>
  <c r="X16" i="6"/>
  <c r="W16" i="6"/>
  <c r="V16" i="6"/>
  <c r="U16" i="6"/>
  <c r="T16" i="6"/>
  <c r="AA48" i="6"/>
  <c r="L48" i="6"/>
  <c r="K48" i="6"/>
  <c r="AH87" i="6"/>
  <c r="AH86" i="6"/>
  <c r="AW48" i="6"/>
  <c r="AH68" i="6"/>
  <c r="AH67" i="6"/>
  <c r="AH30" i="6"/>
  <c r="AH48" i="6"/>
  <c r="AH49" i="6"/>
  <c r="Y10" i="6"/>
  <c r="AT10" i="6"/>
  <c r="AS10" i="6"/>
  <c r="V35" i="6"/>
  <c r="AH29" i="6"/>
  <c r="K30" i="6"/>
  <c r="K29" i="6"/>
  <c r="AF10" i="6"/>
  <c r="J10" i="6"/>
  <c r="AH11" i="6"/>
  <c r="AH10" i="6"/>
  <c r="AE10" i="6"/>
  <c r="R10" i="6"/>
  <c r="T67" i="6"/>
  <c r="I67" i="6" s="1"/>
  <c r="Y73" i="6" s="1"/>
  <c r="W67" i="6"/>
  <c r="X67" i="6"/>
  <c r="AB67" i="6"/>
  <c r="J67" i="6" s="1"/>
  <c r="V73" i="6" s="1"/>
  <c r="AE67" i="6"/>
  <c r="AF67" i="6"/>
  <c r="AR67" i="6"/>
  <c r="AS67" i="6"/>
  <c r="AT67" i="6"/>
  <c r="AW67" i="6"/>
  <c r="AZ67" i="6" s="1"/>
  <c r="T68" i="6"/>
  <c r="Y68" i="6" s="1"/>
  <c r="W68" i="6"/>
  <c r="X68" i="6"/>
  <c r="AB68" i="6"/>
  <c r="J68" i="6" s="1"/>
  <c r="AE68" i="6"/>
  <c r="AF68" i="6"/>
  <c r="AR68" i="6"/>
  <c r="AS68" i="6"/>
  <c r="AT68" i="6"/>
  <c r="AX68" i="6"/>
  <c r="T10" i="6"/>
  <c r="I10" i="6" s="1"/>
  <c r="AB87" i="6"/>
  <c r="J87" i="6" s="1"/>
  <c r="AB86" i="6"/>
  <c r="J86" i="6" s="1"/>
  <c r="V95" i="6" s="1"/>
  <c r="T87" i="6"/>
  <c r="I87" i="6" s="1"/>
  <c r="T86" i="6"/>
  <c r="Y86" i="6" s="1"/>
  <c r="Y49" i="6"/>
  <c r="J49" i="6" s="1"/>
  <c r="Y48" i="6"/>
  <c r="J48" i="6" s="1"/>
  <c r="V54" i="6" s="1"/>
  <c r="T49" i="6"/>
  <c r="T48" i="6"/>
  <c r="Y30" i="6"/>
  <c r="J30" i="6" s="1"/>
  <c r="Y29" i="6"/>
  <c r="J29" i="6" s="1"/>
  <c r="T30" i="6"/>
  <c r="T29" i="6"/>
  <c r="Y11" i="6"/>
  <c r="T11" i="6"/>
  <c r="AT93" i="6"/>
  <c r="AS93" i="6"/>
  <c r="AR93" i="6"/>
  <c r="AG93" i="6"/>
  <c r="AF93" i="6"/>
  <c r="AE93" i="6"/>
  <c r="AT92" i="6"/>
  <c r="AS92" i="6"/>
  <c r="AR92" i="6"/>
  <c r="AG92" i="6"/>
  <c r="AF92" i="6"/>
  <c r="AE92" i="6"/>
  <c r="C91" i="6"/>
  <c r="B91" i="6"/>
  <c r="AW87" i="6" s="1"/>
  <c r="AZ87" i="6" s="1"/>
  <c r="AX87" i="6"/>
  <c r="AT87" i="6"/>
  <c r="AS87" i="6"/>
  <c r="AR87" i="6"/>
  <c r="AF87" i="6"/>
  <c r="AE87" i="6"/>
  <c r="X87" i="6"/>
  <c r="W87" i="6"/>
  <c r="AW86" i="6"/>
  <c r="AZ86" i="6" s="1"/>
  <c r="AT86" i="6"/>
  <c r="AS86" i="6"/>
  <c r="AR86" i="6"/>
  <c r="AM86" i="6"/>
  <c r="AO86" i="6" s="1"/>
  <c r="AP86" i="6" s="1"/>
  <c r="AF86" i="6"/>
  <c r="AE86" i="6"/>
  <c r="X86" i="6"/>
  <c r="W86" i="6"/>
  <c r="B85" i="6"/>
  <c r="C72" i="6"/>
  <c r="S68" i="6" s="1"/>
  <c r="B72" i="6"/>
  <c r="R68" i="6" s="1"/>
  <c r="B66" i="6"/>
  <c r="AG67" i="6" s="1"/>
  <c r="C53" i="6"/>
  <c r="B53" i="6"/>
  <c r="AT49" i="6"/>
  <c r="AS49" i="6"/>
  <c r="AR49" i="6"/>
  <c r="AM49" i="6"/>
  <c r="AL49" i="6"/>
  <c r="AF49" i="6"/>
  <c r="AE49" i="6"/>
  <c r="X49" i="6"/>
  <c r="W49" i="6"/>
  <c r="K49" i="6"/>
  <c r="AX48" i="6"/>
  <c r="AZ48" i="6"/>
  <c r="AT48" i="6"/>
  <c r="AS48" i="6"/>
  <c r="AR48" i="6"/>
  <c r="AM48" i="6"/>
  <c r="AL48" i="6"/>
  <c r="AF48" i="6"/>
  <c r="AE48" i="6"/>
  <c r="X48" i="6"/>
  <c r="W48" i="6"/>
  <c r="B47" i="6"/>
  <c r="C34" i="6"/>
  <c r="X29" i="6" s="1"/>
  <c r="B34" i="6"/>
  <c r="AX30" i="6"/>
  <c r="AW30" i="6"/>
  <c r="AZ30" i="6" s="1"/>
  <c r="AT30" i="6"/>
  <c r="AS30" i="6"/>
  <c r="AR30" i="6"/>
  <c r="AM30" i="6"/>
  <c r="AL30" i="6"/>
  <c r="AF30" i="6"/>
  <c r="AE30" i="6"/>
  <c r="W30" i="6"/>
  <c r="S30" i="6"/>
  <c r="AX29" i="6"/>
  <c r="AW29" i="6"/>
  <c r="AZ29" i="6" s="1"/>
  <c r="AT29" i="6"/>
  <c r="AS29" i="6"/>
  <c r="AR29" i="6"/>
  <c r="AM29" i="6"/>
  <c r="AL29" i="6"/>
  <c r="AF29" i="6"/>
  <c r="AE29" i="6"/>
  <c r="W29" i="6"/>
  <c r="S29" i="6"/>
  <c r="B28" i="6"/>
  <c r="C15" i="6"/>
  <c r="S10" i="6" s="1"/>
  <c r="AX11" i="6"/>
  <c r="AW11" i="6"/>
  <c r="AZ11" i="6" s="1"/>
  <c r="AT11" i="6"/>
  <c r="AS11" i="6"/>
  <c r="AR11" i="6"/>
  <c r="AM11" i="6"/>
  <c r="AL11" i="6"/>
  <c r="AF11" i="6"/>
  <c r="AE11" i="6"/>
  <c r="X11" i="6"/>
  <c r="W11" i="6"/>
  <c r="K11" i="6"/>
  <c r="AW10" i="6"/>
  <c r="AZ10" i="6" s="1"/>
  <c r="AR10" i="6"/>
  <c r="AM10" i="6"/>
  <c r="AL10" i="6"/>
  <c r="X10" i="6"/>
  <c r="W10" i="6"/>
  <c r="B9" i="6"/>
  <c r="Q10" i="9" l="1"/>
  <c r="AI87" i="9"/>
  <c r="X54" i="9"/>
  <c r="Z48" i="9"/>
  <c r="K48" i="9" s="1"/>
  <c r="AJ87" i="9"/>
  <c r="Q86" i="9"/>
  <c r="X35" i="9"/>
  <c r="Z29" i="9"/>
  <c r="AC48" i="9"/>
  <c r="AD86" i="9"/>
  <c r="K86" i="9" s="1"/>
  <c r="AQ86" i="9"/>
  <c r="Z86" i="9"/>
  <c r="Z68" i="9"/>
  <c r="AD68" i="9"/>
  <c r="K68" i="9" s="1"/>
  <c r="V49" i="9"/>
  <c r="AA86" i="9"/>
  <c r="V87" i="9"/>
  <c r="AJ93" i="9"/>
  <c r="V67" i="9"/>
  <c r="AA68" i="9"/>
  <c r="AC11" i="9"/>
  <c r="AP48" i="9"/>
  <c r="AI86" i="9"/>
  <c r="AJ86" i="9" s="1"/>
  <c r="AV93" i="9"/>
  <c r="Q29" i="9"/>
  <c r="V16" i="9"/>
  <c r="Y16" i="9"/>
  <c r="AD11" i="9"/>
  <c r="M11" i="9" s="1"/>
  <c r="L11" i="9"/>
  <c r="BA11" i="9"/>
  <c r="AV48" i="9"/>
  <c r="AJ92" i="9"/>
  <c r="I67" i="9"/>
  <c r="Y73" i="9" s="1"/>
  <c r="T95" i="9"/>
  <c r="AA10" i="9"/>
  <c r="T17" i="9"/>
  <c r="M86" i="9"/>
  <c r="AQ87" i="9"/>
  <c r="L87" i="9" s="1"/>
  <c r="AG49" i="9"/>
  <c r="Y67" i="9"/>
  <c r="AA48" i="9"/>
  <c r="AN48" i="9"/>
  <c r="AO48" i="9" s="1"/>
  <c r="AW49" i="9"/>
  <c r="AZ49" i="9" s="1"/>
  <c r="BA49" i="9" s="1"/>
  <c r="AU67" i="9"/>
  <c r="AV67" i="9" s="1"/>
  <c r="S68" i="9"/>
  <c r="K11" i="9"/>
  <c r="J30" i="9"/>
  <c r="V36" i="9" s="1"/>
  <c r="Z30" i="9"/>
  <c r="K30" i="9" s="1"/>
  <c r="AB48" i="9"/>
  <c r="Z87" i="9"/>
  <c r="AA87" i="9" s="1"/>
  <c r="AI93" i="9"/>
  <c r="AN30" i="9"/>
  <c r="AO30" i="9" s="1"/>
  <c r="AP30" i="9" s="1"/>
  <c r="I49" i="9"/>
  <c r="Y55" i="9" s="1"/>
  <c r="U68" i="9"/>
  <c r="X73" i="9"/>
  <c r="R48" i="9"/>
  <c r="U48" i="9" s="1"/>
  <c r="V48" i="9" s="1"/>
  <c r="AX67" i="9"/>
  <c r="BA67" i="9" s="1"/>
  <c r="AI68" i="9"/>
  <c r="AJ68" i="9" s="1"/>
  <c r="I29" i="9"/>
  <c r="Y35" i="9" s="1"/>
  <c r="AN49" i="9"/>
  <c r="AO49" i="9" s="1"/>
  <c r="AP49" i="9" s="1"/>
  <c r="I48" i="9"/>
  <c r="Y54" i="9" s="1"/>
  <c r="AU68" i="8"/>
  <c r="AV68" i="8" s="1"/>
  <c r="AU48" i="8"/>
  <c r="AV48" i="8" s="1"/>
  <c r="U55" i="8"/>
  <c r="S87" i="8"/>
  <c r="S86" i="8"/>
  <c r="AX67" i="8"/>
  <c r="S67" i="8"/>
  <c r="S48" i="8"/>
  <c r="Q48" i="8"/>
  <c r="X30" i="8"/>
  <c r="S10" i="8"/>
  <c r="S11" i="8"/>
  <c r="AB11" i="8"/>
  <c r="Q29" i="8"/>
  <c r="K11" i="8"/>
  <c r="AA11" i="8"/>
  <c r="AD68" i="8"/>
  <c r="Z68" i="8"/>
  <c r="AO48" i="8"/>
  <c r="X35" i="8"/>
  <c r="AA29" i="8"/>
  <c r="X54" i="8"/>
  <c r="Z48" i="8"/>
  <c r="AA10" i="8"/>
  <c r="AB10" i="8" s="1"/>
  <c r="R49" i="8"/>
  <c r="U49" i="8" s="1"/>
  <c r="T54" i="8"/>
  <c r="U87" i="8"/>
  <c r="AU92" i="8"/>
  <c r="U30" i="8"/>
  <c r="AG30" i="8"/>
  <c r="AU30" i="8"/>
  <c r="W35" i="8"/>
  <c r="I67" i="8"/>
  <c r="I68" i="8"/>
  <c r="I11" i="8"/>
  <c r="T17" i="8"/>
  <c r="J11" i="8"/>
  <c r="U17" i="8"/>
  <c r="AN29" i="8"/>
  <c r="AO29" i="8" s="1"/>
  <c r="AG49" i="8"/>
  <c r="Y67" i="8"/>
  <c r="AW68" i="8"/>
  <c r="AZ68" i="8" s="1"/>
  <c r="M86" i="8"/>
  <c r="Y86" i="8"/>
  <c r="AQ87" i="8"/>
  <c r="R68" i="8"/>
  <c r="U68" i="8" s="1"/>
  <c r="AN48" i="8"/>
  <c r="AU67" i="8"/>
  <c r="AV67" i="8" s="1"/>
  <c r="Z87" i="8"/>
  <c r="AI93" i="8"/>
  <c r="AJ93" i="8" s="1"/>
  <c r="AU10" i="8"/>
  <c r="R29" i="8"/>
  <c r="U29" i="8" s="1"/>
  <c r="AN30" i="8"/>
  <c r="AO30" i="8" s="1"/>
  <c r="I29" i="8"/>
  <c r="AU29" i="8"/>
  <c r="AG86" i="8"/>
  <c r="I48" i="8"/>
  <c r="I86" i="8"/>
  <c r="AI93" i="6"/>
  <c r="BA48" i="6"/>
  <c r="AX67" i="6"/>
  <c r="AA30" i="6"/>
  <c r="U68" i="6"/>
  <c r="I68" i="6"/>
  <c r="AW68" i="6"/>
  <c r="AZ68" i="6" s="1"/>
  <c r="BA68" i="6" s="1"/>
  <c r="AG68" i="6"/>
  <c r="BA87" i="6"/>
  <c r="V68" i="6"/>
  <c r="AU67" i="6"/>
  <c r="AV67" i="6" s="1"/>
  <c r="BA67" i="6"/>
  <c r="O67" i="6" s="1"/>
  <c r="AU68" i="6"/>
  <c r="AV68" i="6" s="1"/>
  <c r="S67" i="6"/>
  <c r="AU29" i="6"/>
  <c r="AV29" i="6" s="1"/>
  <c r="R67" i="6"/>
  <c r="U67" i="6" s="1"/>
  <c r="Z68" i="6"/>
  <c r="AA68" i="6" s="1"/>
  <c r="AD68" i="6"/>
  <c r="K68" i="6" s="1"/>
  <c r="Y67" i="6"/>
  <c r="AN10" i="6"/>
  <c r="AO10" i="6" s="1"/>
  <c r="AP10" i="6" s="1"/>
  <c r="BA30" i="6"/>
  <c r="AU10" i="6"/>
  <c r="AV10" i="6" s="1"/>
  <c r="S11" i="6"/>
  <c r="R30" i="6"/>
  <c r="U30" i="6" s="1"/>
  <c r="V30" i="6" s="1"/>
  <c r="AG86" i="6"/>
  <c r="AG29" i="6"/>
  <c r="AU92" i="6"/>
  <c r="AV92" i="6" s="1"/>
  <c r="BA29" i="6"/>
  <c r="Q29" i="6" s="1"/>
  <c r="AA11" i="6"/>
  <c r="L11" i="6" s="1"/>
  <c r="J11" i="6"/>
  <c r="BA11" i="6"/>
  <c r="R48" i="6"/>
  <c r="U48" i="6" s="1"/>
  <c r="S87" i="6"/>
  <c r="AN48" i="6"/>
  <c r="AO48" i="6" s="1"/>
  <c r="AP48" i="6" s="1"/>
  <c r="AN29" i="6"/>
  <c r="AO29" i="6" s="1"/>
  <c r="AP29" i="6" s="1"/>
  <c r="AX10" i="6"/>
  <c r="BA10" i="6" s="1"/>
  <c r="Q10" i="6" s="1"/>
  <c r="AN30" i="6"/>
  <c r="AO30" i="6" s="1"/>
  <c r="AP30" i="6" s="1"/>
  <c r="X30" i="6"/>
  <c r="AU11" i="6"/>
  <c r="AV11" i="6" s="1"/>
  <c r="AU49" i="6"/>
  <c r="AV49" i="6" s="1"/>
  <c r="AG87" i="6"/>
  <c r="AI92" i="6"/>
  <c r="AJ92" i="6" s="1"/>
  <c r="AD86" i="6"/>
  <c r="K86" i="6" s="1"/>
  <c r="M86" i="6"/>
  <c r="I86" i="6"/>
  <c r="I30" i="6"/>
  <c r="AU93" i="6"/>
  <c r="AV93" i="6" s="1"/>
  <c r="AJ93" i="6"/>
  <c r="AU30" i="6"/>
  <c r="AV30" i="6" s="1"/>
  <c r="I48" i="6"/>
  <c r="Y54" i="6" s="1"/>
  <c r="AB48" i="6"/>
  <c r="AC48" i="6" s="1"/>
  <c r="R11" i="6"/>
  <c r="U11" i="6" s="1"/>
  <c r="V11" i="6" s="1"/>
  <c r="U10" i="6"/>
  <c r="I29" i="6"/>
  <c r="AA29" i="6"/>
  <c r="AB29" i="6" s="1"/>
  <c r="AC29" i="6" s="1"/>
  <c r="AD30" i="6"/>
  <c r="M30" i="6" s="1"/>
  <c r="L30" i="6"/>
  <c r="AB30" i="6"/>
  <c r="S48" i="6"/>
  <c r="S49" i="6"/>
  <c r="AX49" i="6"/>
  <c r="AA10" i="6"/>
  <c r="I49" i="6"/>
  <c r="AA49" i="6"/>
  <c r="AG11" i="6"/>
  <c r="AN49" i="6"/>
  <c r="AO49" i="6" s="1"/>
  <c r="AP49" i="6" s="1"/>
  <c r="I11" i="6"/>
  <c r="AN11" i="6"/>
  <c r="AO11" i="6" s="1"/>
  <c r="AP11" i="6" s="1"/>
  <c r="R29" i="6"/>
  <c r="U29" i="6" s="1"/>
  <c r="V29" i="6" s="1"/>
  <c r="AG30" i="6"/>
  <c r="R49" i="6"/>
  <c r="U49" i="6" s="1"/>
  <c r="AG49" i="6"/>
  <c r="AG48" i="6"/>
  <c r="AU48" i="6"/>
  <c r="AV48" i="6" s="1"/>
  <c r="AW49" i="6"/>
  <c r="AZ49" i="6" s="1"/>
  <c r="S86" i="6"/>
  <c r="R87" i="6"/>
  <c r="U87" i="6" s="1"/>
  <c r="R86" i="6"/>
  <c r="U86" i="6" s="1"/>
  <c r="AQ86" i="6"/>
  <c r="L86" i="6" s="1"/>
  <c r="Z86" i="6"/>
  <c r="AA86" i="6" s="1"/>
  <c r="AX86" i="6"/>
  <c r="BA86" i="6" s="1"/>
  <c r="Y87" i="6"/>
  <c r="BB86" i="9" l="1"/>
  <c r="Q48" i="9"/>
  <c r="AU87" i="9"/>
  <c r="AV87" i="9" s="1"/>
  <c r="BB87" i="9" s="1"/>
  <c r="V68" i="9"/>
  <c r="BB68" i="9" s="1"/>
  <c r="AD48" i="9"/>
  <c r="L48" i="9"/>
  <c r="AI11" i="9"/>
  <c r="AJ11" i="9" s="1"/>
  <c r="O67" i="9"/>
  <c r="AD67" i="9"/>
  <c r="Z67" i="9"/>
  <c r="AA67" i="9" s="1"/>
  <c r="K29" i="9"/>
  <c r="AA29" i="9"/>
  <c r="AA30" i="9"/>
  <c r="Y36" i="9"/>
  <c r="X55" i="9"/>
  <c r="Z49" i="9"/>
  <c r="L86" i="9"/>
  <c r="AU86" i="9"/>
  <c r="AV86" i="9" s="1"/>
  <c r="Y96" i="9"/>
  <c r="Y95" i="9"/>
  <c r="BB11" i="9"/>
  <c r="L10" i="9"/>
  <c r="AB10" i="9"/>
  <c r="AC10" i="9" s="1"/>
  <c r="AD10" i="9"/>
  <c r="O67" i="8"/>
  <c r="AD29" i="8"/>
  <c r="L29" i="8"/>
  <c r="AI68" i="8"/>
  <c r="BB68" i="8" s="1"/>
  <c r="K68" i="8"/>
  <c r="AD67" i="8"/>
  <c r="Z67" i="8"/>
  <c r="L10" i="8"/>
  <c r="X55" i="8"/>
  <c r="Z49" i="8"/>
  <c r="X36" i="8"/>
  <c r="Z30" i="8"/>
  <c r="L87" i="8"/>
  <c r="AU87" i="8"/>
  <c r="BB87" i="8" s="1"/>
  <c r="K48" i="8"/>
  <c r="AD11" i="8"/>
  <c r="L11" i="8"/>
  <c r="AA48" i="8"/>
  <c r="K29" i="8"/>
  <c r="AB29" i="8"/>
  <c r="Q86" i="8"/>
  <c r="AD86" i="8"/>
  <c r="AQ86" i="8"/>
  <c r="Z86" i="8"/>
  <c r="Q10" i="8"/>
  <c r="Q86" i="6"/>
  <c r="V67" i="6"/>
  <c r="AI68" i="6"/>
  <c r="AJ68" i="6" s="1"/>
  <c r="BB68" i="6" s="1"/>
  <c r="AD11" i="6"/>
  <c r="M11" i="6" s="1"/>
  <c r="AB10" i="6"/>
  <c r="AC10" i="6" s="1"/>
  <c r="L10" i="6"/>
  <c r="AD67" i="6"/>
  <c r="Z67" i="6"/>
  <c r="AA67" i="6" s="1"/>
  <c r="V10" i="6"/>
  <c r="AB11" i="6"/>
  <c r="AC11" i="6" s="1"/>
  <c r="V87" i="6"/>
  <c r="BA49" i="6"/>
  <c r="Q48" i="6" s="1"/>
  <c r="AI86" i="6"/>
  <c r="AJ86" i="6" s="1"/>
  <c r="AC30" i="6"/>
  <c r="AU86" i="6"/>
  <c r="AV86" i="6" s="1"/>
  <c r="V86" i="6"/>
  <c r="V48" i="6"/>
  <c r="AI30" i="6"/>
  <c r="AJ30" i="6" s="1"/>
  <c r="V49" i="6"/>
  <c r="Z87" i="6"/>
  <c r="AA87" i="6" s="1"/>
  <c r="AQ87" i="6"/>
  <c r="AD87" i="6"/>
  <c r="AD49" i="6"/>
  <c r="M49" i="6" s="1"/>
  <c r="L49" i="6"/>
  <c r="AB49" i="6"/>
  <c r="AC49" i="6" s="1"/>
  <c r="AD10" i="6"/>
  <c r="L29" i="6"/>
  <c r="AD29" i="6"/>
  <c r="AD48" i="6"/>
  <c r="M48" i="6" s="1"/>
  <c r="M48" i="9" l="1"/>
  <c r="AI48" i="9"/>
  <c r="AJ48" i="9" s="1"/>
  <c r="BB48" i="9" s="1"/>
  <c r="P86" i="9"/>
  <c r="L29" i="9"/>
  <c r="AD29" i="9"/>
  <c r="K67" i="9"/>
  <c r="AI67" i="9"/>
  <c r="AJ67" i="9" s="1"/>
  <c r="BB67" i="9" s="1"/>
  <c r="BC67" i="9" s="1"/>
  <c r="L67" i="9" s="1"/>
  <c r="M67" i="9" s="1"/>
  <c r="AB29" i="9"/>
  <c r="AC29" i="9" s="1"/>
  <c r="AD30" i="9"/>
  <c r="L30" i="9"/>
  <c r="AB30" i="9"/>
  <c r="AC30" i="9" s="1"/>
  <c r="BC86" i="9"/>
  <c r="N86" i="9" s="1"/>
  <c r="O86" i="9" s="1"/>
  <c r="M10" i="9"/>
  <c r="AI10" i="9"/>
  <c r="AJ10" i="9" s="1"/>
  <c r="BB10" i="9" s="1"/>
  <c r="BC10" i="9" s="1"/>
  <c r="N10" i="9" s="1"/>
  <c r="O10" i="9" s="1"/>
  <c r="K49" i="9"/>
  <c r="AA49" i="9"/>
  <c r="AD48" i="8"/>
  <c r="L48" i="8"/>
  <c r="AA30" i="8"/>
  <c r="AB30" i="8" s="1"/>
  <c r="K30" i="8"/>
  <c r="M11" i="8"/>
  <c r="AI11" i="8"/>
  <c r="BB11" i="8" s="1"/>
  <c r="M29" i="8"/>
  <c r="AI29" i="8"/>
  <c r="BB29" i="8" s="1"/>
  <c r="AA49" i="8"/>
  <c r="K49" i="8"/>
  <c r="AB48" i="8"/>
  <c r="AC48" i="8" s="1"/>
  <c r="AU86" i="8"/>
  <c r="L86" i="8"/>
  <c r="AI10" i="8"/>
  <c r="K86" i="8"/>
  <c r="AI86" i="8"/>
  <c r="BB86" i="8" s="1"/>
  <c r="BC86" i="8" s="1"/>
  <c r="N86" i="8" s="1"/>
  <c r="O86" i="8" s="1"/>
  <c r="K67" i="8"/>
  <c r="AI67" i="8"/>
  <c r="M10" i="6"/>
  <c r="AI10" i="6"/>
  <c r="AI11" i="6"/>
  <c r="AJ11" i="6" s="1"/>
  <c r="BB11" i="6" s="1"/>
  <c r="BB30" i="6"/>
  <c r="K67" i="6"/>
  <c r="AI67" i="6"/>
  <c r="AJ67" i="6" s="1"/>
  <c r="BB67" i="6" s="1"/>
  <c r="BC67" i="6" s="1"/>
  <c r="L67" i="6" s="1"/>
  <c r="M67" i="6" s="1"/>
  <c r="BB86" i="6"/>
  <c r="AI49" i="6"/>
  <c r="AJ49" i="6" s="1"/>
  <c r="BB49" i="6" s="1"/>
  <c r="K87" i="6"/>
  <c r="AI87" i="6"/>
  <c r="AJ87" i="6" s="1"/>
  <c r="P86" i="6" s="1"/>
  <c r="AI48" i="6"/>
  <c r="AJ48" i="6" s="1"/>
  <c r="BB48" i="6" s="1"/>
  <c r="M29" i="6"/>
  <c r="AI29" i="6"/>
  <c r="AJ29" i="6" s="1"/>
  <c r="BB29" i="6" s="1"/>
  <c r="L87" i="6"/>
  <c r="AU87" i="6"/>
  <c r="AV87" i="6" s="1"/>
  <c r="AJ10" i="6"/>
  <c r="M30" i="9" l="1"/>
  <c r="AI30" i="9"/>
  <c r="AJ30" i="9" s="1"/>
  <c r="BB30" i="9" s="1"/>
  <c r="AD49" i="9"/>
  <c r="L49" i="9"/>
  <c r="AB49" i="9"/>
  <c r="AC49" i="9" s="1"/>
  <c r="N67" i="9"/>
  <c r="M29" i="9"/>
  <c r="AI29" i="9"/>
  <c r="AJ29" i="9" s="1"/>
  <c r="BB29" i="9" s="1"/>
  <c r="BC29" i="9" s="1"/>
  <c r="N29" i="9" s="1"/>
  <c r="O29" i="9" s="1"/>
  <c r="P10" i="9"/>
  <c r="P29" i="9"/>
  <c r="BB67" i="8"/>
  <c r="BC67" i="8" s="1"/>
  <c r="L67" i="8" s="1"/>
  <c r="M67" i="8" s="1"/>
  <c r="N67" i="8"/>
  <c r="L49" i="8"/>
  <c r="AD49" i="8"/>
  <c r="AD30" i="8"/>
  <c r="L30" i="8"/>
  <c r="P10" i="8"/>
  <c r="BB10" i="8"/>
  <c r="BC10" i="8" s="1"/>
  <c r="N10" i="8" s="1"/>
  <c r="O10" i="8" s="1"/>
  <c r="M48" i="8"/>
  <c r="AI48" i="8"/>
  <c r="AB49" i="8"/>
  <c r="AC49" i="8" s="1"/>
  <c r="P86" i="8"/>
  <c r="N67" i="6"/>
  <c r="P48" i="6"/>
  <c r="BC29" i="6"/>
  <c r="N29" i="6" s="1"/>
  <c r="O29" i="6" s="1"/>
  <c r="P29" i="6"/>
  <c r="BB10" i="6"/>
  <c r="P10" i="6"/>
  <c r="BC10" i="6"/>
  <c r="N10" i="6" s="1"/>
  <c r="O10" i="6" s="1"/>
  <c r="BC48" i="6"/>
  <c r="N48" i="6" s="1"/>
  <c r="O48" i="6" s="1"/>
  <c r="BB87" i="6"/>
  <c r="BC86" i="6" s="1"/>
  <c r="N86" i="6" s="1"/>
  <c r="O86" i="6" s="1"/>
  <c r="M49" i="9" l="1"/>
  <c r="AI49" i="9"/>
  <c r="AJ49" i="9" s="1"/>
  <c r="BB49" i="9" s="1"/>
  <c r="BC48" i="9" s="1"/>
  <c r="N48" i="9" s="1"/>
  <c r="O48" i="9" s="1"/>
  <c r="AJ48" i="8"/>
  <c r="BB48" i="8" s="1"/>
  <c r="M30" i="8"/>
  <c r="AI30" i="8"/>
  <c r="M49" i="8"/>
  <c r="AI49" i="8"/>
  <c r="P48" i="9" l="1"/>
  <c r="AJ49" i="8"/>
  <c r="BB49" i="8" s="1"/>
  <c r="BC48" i="8" s="1"/>
  <c r="N48" i="8" s="1"/>
  <c r="O48" i="8" s="1"/>
  <c r="BB30" i="8"/>
  <c r="BC29" i="8" s="1"/>
  <c r="N29" i="8" s="1"/>
  <c r="O29" i="8" s="1"/>
  <c r="P29" i="8"/>
  <c r="P48" i="8"/>
</calcChain>
</file>

<file path=xl/sharedStrings.xml><?xml version="1.0" encoding="utf-8"?>
<sst xmlns="http://schemas.openxmlformats.org/spreadsheetml/2006/main" count="1543" uniqueCount="94">
  <si>
    <t>Atributo</t>
  </si>
  <si>
    <t>Ignorar - valor incorrecto</t>
  </si>
  <si>
    <t>Input</t>
  </si>
  <si>
    <t>Zunxos riostres premuntats</t>
  </si>
  <si>
    <t>45x40</t>
  </si>
  <si>
    <t>Límit tq L4&gt;1.18m</t>
  </si>
  <si>
    <t>Valors en blau modificables</t>
  </si>
  <si>
    <t>Riostra</t>
  </si>
  <si>
    <t>Mides formigó</t>
  </si>
  <si>
    <t>BARRES</t>
  </si>
  <si>
    <t>ample</t>
  </si>
  <si>
    <t>m</t>
  </si>
  <si>
    <t>B</t>
  </si>
  <si>
    <t>A</t>
  </si>
  <si>
    <t>E</t>
  </si>
  <si>
    <r>
      <t xml:space="preserve">TOT </t>
    </r>
    <r>
      <rPr>
        <b/>
        <i/>
        <sz val="11"/>
        <color theme="1"/>
        <rFont val="Calibri"/>
        <family val="2"/>
        <scheme val="minor"/>
      </rPr>
      <t>RX</t>
    </r>
  </si>
  <si>
    <t>E1</t>
  </si>
  <si>
    <t>E3</t>
  </si>
  <si>
    <t>E2</t>
  </si>
  <si>
    <t>S</t>
  </si>
  <si>
    <t>PES TOTAL</t>
  </si>
  <si>
    <t>canto</t>
  </si>
  <si>
    <t>Referència</t>
  </si>
  <si>
    <t>Leixos (m)</t>
  </si>
  <si>
    <t>A1sab. esq. (m)</t>
  </si>
  <si>
    <t>A2sab. d. (m)</t>
  </si>
  <si>
    <t>L1 (m)</t>
  </si>
  <si>
    <t>L2 (m)</t>
  </si>
  <si>
    <t>L3 (m)</t>
  </si>
  <si>
    <t>L4 (m)</t>
  </si>
  <si>
    <t>E1 (u)</t>
  </si>
  <si>
    <t>Pestot (kg)</t>
  </si>
  <si>
    <t>TOT. REAL</t>
  </si>
  <si>
    <t>REAL ARM.</t>
  </si>
  <si>
    <t>REAL NEG.</t>
  </si>
  <si>
    <t>u.</t>
  </si>
  <si>
    <t>Ø</t>
  </si>
  <si>
    <t>Ltot (m)</t>
  </si>
  <si>
    <t>b</t>
  </si>
  <si>
    <t>a</t>
  </si>
  <si>
    <t>cada (cm)</t>
  </si>
  <si>
    <t>L5 (m)</t>
  </si>
  <si>
    <t>(kg)</t>
  </si>
  <si>
    <t>recob. A</t>
  </si>
  <si>
    <t>recob. C</t>
  </si>
  <si>
    <t>Calcular según canvio de sección entre L2 y L4</t>
  </si>
  <si>
    <t>Armadura</t>
  </si>
  <si>
    <t>MEDIDAS HORMIGÓN</t>
  </si>
  <si>
    <t>Superior</t>
  </si>
  <si>
    <t>Ø16</t>
  </si>
  <si>
    <t>EXTREMO</t>
  </si>
  <si>
    <t>EJE</t>
  </si>
  <si>
    <t>Inferior</t>
  </si>
  <si>
    <t>base</t>
  </si>
  <si>
    <t>altura</t>
  </si>
  <si>
    <t>largo</t>
  </si>
  <si>
    <t>Estreps</t>
  </si>
  <si>
    <t>Ø10</t>
  </si>
  <si>
    <t>cada</t>
  </si>
  <si>
    <t>Sabata</t>
  </si>
  <si>
    <t>canto sabata</t>
  </si>
  <si>
    <t>EN ELS 2 COSTATS IGUAL</t>
  </si>
  <si>
    <t>recob.</t>
  </si>
  <si>
    <t>*Atenció mides estreps</t>
  </si>
  <si>
    <t>45x35</t>
  </si>
  <si>
    <r>
      <t>L</t>
    </r>
    <r>
      <rPr>
        <b/>
        <sz val="10"/>
        <color theme="1"/>
        <rFont val="Calibri"/>
        <family val="2"/>
        <scheme val="minor"/>
      </rPr>
      <t>eixos (m)</t>
    </r>
  </si>
  <si>
    <r>
      <t>A</t>
    </r>
    <r>
      <rPr>
        <b/>
        <sz val="10"/>
        <color theme="1"/>
        <rFont val="Calibri"/>
        <family val="2"/>
        <scheme val="minor"/>
      </rPr>
      <t>1sab. esq. (m)</t>
    </r>
  </si>
  <si>
    <r>
      <t>A</t>
    </r>
    <r>
      <rPr>
        <b/>
        <sz val="10"/>
        <color theme="1"/>
        <rFont val="Calibri"/>
        <family val="2"/>
        <scheme val="minor"/>
      </rPr>
      <t>2sab. d. (m)</t>
    </r>
  </si>
  <si>
    <r>
      <t>Pes</t>
    </r>
    <r>
      <rPr>
        <b/>
        <sz val="10"/>
        <color theme="1"/>
        <rFont val="Calibri"/>
        <family val="2"/>
        <scheme val="minor"/>
      </rPr>
      <t>tot (kg)</t>
    </r>
  </si>
  <si>
    <t>EXTREMOS</t>
  </si>
  <si>
    <t>50x35</t>
  </si>
  <si>
    <t>Límit tq L4&gt;0.82m</t>
  </si>
  <si>
    <r>
      <t xml:space="preserve">TOT </t>
    </r>
    <r>
      <rPr>
        <b/>
        <i/>
        <sz val="11"/>
        <rFont val="Calibri"/>
        <family val="2"/>
        <scheme val="minor"/>
      </rPr>
      <t>RX</t>
    </r>
  </si>
  <si>
    <r>
      <t>Pes</t>
    </r>
    <r>
      <rPr>
        <b/>
        <sz val="10"/>
        <rFont val="Calibri"/>
        <family val="2"/>
        <scheme val="minor"/>
      </rPr>
      <t>tot (kg)</t>
    </r>
  </si>
  <si>
    <t>45x20</t>
  </si>
  <si>
    <t>Límits: -distància a extrem o mínim 1 estrep</t>
  </si>
  <si>
    <t>A i B</t>
  </si>
  <si>
    <t>45x20 + 45x40</t>
  </si>
  <si>
    <t>AFEGIT</t>
  </si>
  <si>
    <t>Ø12</t>
  </si>
  <si>
    <t>canto suport paret</t>
  </si>
  <si>
    <t>E4</t>
  </si>
  <si>
    <t xml:space="preserve"> - Si 7.00m &lt; Leixos &lt; 8.00m</t>
  </si>
  <si>
    <t>L3 (m) (mio)</t>
  </si>
  <si>
    <t>Izq.</t>
  </si>
  <si>
    <t>Dcho.</t>
  </si>
  <si>
    <t xml:space="preserve"> - Si 4.00m/4.60m &lt; Leixos &lt; 7.00m</t>
  </si>
  <si>
    <t xml:space="preserve"> - Si 3.20m/3.90m &lt; Leixos &lt; 4.00m/4.60m amb L4 &lt; 1.18m</t>
  </si>
  <si>
    <t xml:space="preserve"> - Si 2.00m/2.50m &lt; Leixos &lt; 3.20/3.90m - SENSE PARET</t>
  </si>
  <si>
    <t xml:space="preserve"> - Si 2.00m/2.50m &lt; Leixos &lt; 3.20/3.90m - AMB PARET</t>
  </si>
  <si>
    <t>E3 (u)</t>
  </si>
  <si>
    <t>E4 dona altura al centre</t>
  </si>
  <si>
    <t>recob Eje</t>
  </si>
  <si>
    <t>recob.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</si>
</sst>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9C0006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2" fillId="4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</cellStyleXfs>
  <cellXfs count="180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" fontId="9" fillId="3" borderId="13" xfId="0" applyNumberFormat="1" applyFont="1" applyFill="1" applyBorder="1" applyAlignment="1">
      <alignment horizontal="center" vertical="center"/>
    </xf>
    <xf numFmtId="2" fontId="5" fillId="3" borderId="14" xfId="0" applyNumberFormat="1" applyFont="1" applyFill="1" applyBorder="1" applyAlignment="1">
      <alignment horizontal="center" vertical="center"/>
    </xf>
    <xf numFmtId="2" fontId="5" fillId="3" borderId="13" xfId="0" applyNumberFormat="1" applyFont="1" applyFill="1" applyBorder="1" applyAlignment="1">
      <alignment horizontal="center" vertical="center"/>
    </xf>
    <xf numFmtId="2" fontId="5" fillId="3" borderId="12" xfId="0" applyNumberFormat="1" applyFont="1" applyFill="1" applyBorder="1" applyAlignment="1">
      <alignment horizontal="center" vertical="center"/>
    </xf>
    <xf numFmtId="2" fontId="9" fillId="3" borderId="12" xfId="0" applyNumberFormat="1" applyFont="1" applyFill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2" fontId="9" fillId="2" borderId="11" xfId="0" applyNumberFormat="1" applyFont="1" applyFill="1" applyBorder="1" applyAlignment="1">
      <alignment horizontal="center" vertical="center"/>
    </xf>
    <xf numFmtId="2" fontId="5" fillId="2" borderId="9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9" fillId="2" borderId="10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7" fillId="3" borderId="15" xfId="0" applyFont="1" applyFill="1" applyBorder="1" applyAlignment="1">
      <alignment horizontal="right" vertical="center"/>
    </xf>
    <xf numFmtId="0" fontId="7" fillId="3" borderId="6" xfId="0" applyFont="1" applyFill="1" applyBorder="1" applyAlignment="1">
      <alignment horizontal="right" vertical="center"/>
    </xf>
    <xf numFmtId="2" fontId="8" fillId="0" borderId="0" xfId="0" applyNumberFormat="1" applyFont="1" applyAlignment="1">
      <alignment vertical="center"/>
    </xf>
    <xf numFmtId="2" fontId="20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17" fillId="0" borderId="0" xfId="1" applyFont="1" applyFill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0" fillId="3" borderId="12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2" fontId="0" fillId="0" borderId="0" xfId="0" applyNumberFormat="1" applyAlignment="1">
      <alignment vertical="center"/>
    </xf>
    <xf numFmtId="0" fontId="25" fillId="6" borderId="0" xfId="2" applyAlignment="1">
      <alignment vertical="center"/>
    </xf>
    <xf numFmtId="0" fontId="25" fillId="6" borderId="0" xfId="2" applyAlignment="1">
      <alignment horizontal="left" vertical="center"/>
    </xf>
    <xf numFmtId="0" fontId="25" fillId="6" borderId="0" xfId="2"/>
    <xf numFmtId="0" fontId="26" fillId="8" borderId="0" xfId="4" applyAlignment="1">
      <alignment vertical="center"/>
    </xf>
    <xf numFmtId="0" fontId="26" fillId="8" borderId="9" xfId="4" applyBorder="1" applyAlignment="1">
      <alignment horizontal="center" vertical="center"/>
    </xf>
    <xf numFmtId="0" fontId="26" fillId="8" borderId="10" xfId="4" applyBorder="1" applyAlignment="1">
      <alignment horizontal="center" vertical="center"/>
    </xf>
    <xf numFmtId="0" fontId="26" fillId="8" borderId="11" xfId="4" applyBorder="1" applyAlignment="1">
      <alignment horizontal="center" vertical="center"/>
    </xf>
    <xf numFmtId="2" fontId="26" fillId="8" borderId="14" xfId="4" applyNumberFormat="1" applyBorder="1" applyAlignment="1">
      <alignment horizontal="center" vertical="center"/>
    </xf>
    <xf numFmtId="2" fontId="26" fillId="8" borderId="12" xfId="4" applyNumberFormat="1" applyBorder="1" applyAlignment="1">
      <alignment horizontal="center" vertical="center"/>
    </xf>
    <xf numFmtId="2" fontId="26" fillId="8" borderId="13" xfId="4" applyNumberFormat="1" applyBorder="1" applyAlignment="1">
      <alignment horizontal="center" vertical="center"/>
    </xf>
    <xf numFmtId="1" fontId="26" fillId="8" borderId="12" xfId="4" applyNumberFormat="1" applyBorder="1" applyAlignment="1">
      <alignment horizontal="center" vertical="center"/>
    </xf>
    <xf numFmtId="2" fontId="26" fillId="8" borderId="7" xfId="4" applyNumberFormat="1" applyBorder="1" applyAlignment="1">
      <alignment horizontal="center" vertical="center"/>
    </xf>
    <xf numFmtId="2" fontId="26" fillId="8" borderId="8" xfId="4" applyNumberFormat="1" applyBorder="1" applyAlignment="1">
      <alignment horizontal="center" vertical="center"/>
    </xf>
    <xf numFmtId="1" fontId="26" fillId="8" borderId="0" xfId="4" applyNumberFormat="1" applyAlignment="1">
      <alignment horizontal="center" vertical="center"/>
    </xf>
    <xf numFmtId="0" fontId="26" fillId="8" borderId="0" xfId="4" applyAlignment="1">
      <alignment horizontal="center" vertical="center"/>
    </xf>
    <xf numFmtId="0" fontId="26" fillId="7" borderId="2" xfId="3" applyBorder="1" applyAlignment="1">
      <alignment horizontal="center" vertical="center"/>
    </xf>
    <xf numFmtId="0" fontId="26" fillId="7" borderId="3" xfId="3" applyBorder="1" applyAlignment="1">
      <alignment horizontal="center" vertical="center"/>
    </xf>
    <xf numFmtId="0" fontId="26" fillId="7" borderId="0" xfId="3" applyAlignment="1">
      <alignment vertical="center"/>
    </xf>
    <xf numFmtId="0" fontId="26" fillId="7" borderId="0" xfId="3" applyAlignment="1">
      <alignment horizontal="left" vertical="center"/>
    </xf>
    <xf numFmtId="0" fontId="26" fillId="7" borderId="0" xfId="3" applyAlignment="1">
      <alignment horizontal="right" vertical="center"/>
    </xf>
    <xf numFmtId="2" fontId="26" fillId="7" borderId="0" xfId="3" applyNumberFormat="1" applyAlignment="1">
      <alignment horizontal="right" vertical="center"/>
    </xf>
    <xf numFmtId="164" fontId="26" fillId="7" borderId="0" xfId="3" applyNumberFormat="1" applyAlignment="1">
      <alignment vertical="center"/>
    </xf>
    <xf numFmtId="1" fontId="26" fillId="8" borderId="14" xfId="4" applyNumberFormat="1" applyBorder="1" applyAlignment="1">
      <alignment horizontal="center" vertical="center"/>
    </xf>
    <xf numFmtId="1" fontId="26" fillId="8" borderId="9" xfId="4" applyNumberFormat="1" applyBorder="1" applyAlignment="1">
      <alignment horizontal="center" vertical="center"/>
    </xf>
    <xf numFmtId="2" fontId="26" fillId="8" borderId="10" xfId="4" applyNumberFormat="1" applyBorder="1" applyAlignment="1">
      <alignment horizontal="center" vertical="center"/>
    </xf>
    <xf numFmtId="0" fontId="26" fillId="8" borderId="14" xfId="4" applyBorder="1" applyAlignment="1">
      <alignment horizontal="center" vertical="center"/>
    </xf>
    <xf numFmtId="0" fontId="26" fillId="8" borderId="12" xfId="4" applyBorder="1" applyAlignment="1">
      <alignment horizontal="center" vertical="center"/>
    </xf>
    <xf numFmtId="2" fontId="26" fillId="8" borderId="11" xfId="4" applyNumberFormat="1" applyBorder="1" applyAlignment="1">
      <alignment horizontal="center" vertical="center"/>
    </xf>
    <xf numFmtId="0" fontId="12" fillId="4" borderId="10" xfId="1" applyBorder="1" applyAlignment="1">
      <alignment horizontal="center" vertical="center"/>
    </xf>
    <xf numFmtId="2" fontId="12" fillId="4" borderId="12" xfId="1" applyNumberFormat="1" applyBorder="1" applyAlignment="1">
      <alignment horizontal="center" vertical="center"/>
    </xf>
    <xf numFmtId="2" fontId="12" fillId="4" borderId="10" xfId="1" applyNumberFormat="1" applyBorder="1" applyAlignment="1">
      <alignment horizontal="center" vertical="center"/>
    </xf>
    <xf numFmtId="2" fontId="12" fillId="4" borderId="0" xfId="1" applyNumberFormat="1" applyAlignment="1">
      <alignment horizontal="center" vertical="center"/>
    </xf>
    <xf numFmtId="0" fontId="12" fillId="4" borderId="0" xfId="1" applyAlignment="1">
      <alignment wrapText="1"/>
    </xf>
    <xf numFmtId="0" fontId="26" fillId="8" borderId="7" xfId="4" applyBorder="1" applyAlignment="1">
      <alignment horizontal="center" vertical="center"/>
    </xf>
    <xf numFmtId="2" fontId="26" fillId="8" borderId="0" xfId="4" applyNumberFormat="1" applyAlignment="1">
      <alignment vertical="center"/>
    </xf>
    <xf numFmtId="165" fontId="26" fillId="8" borderId="0" xfId="4" applyNumberFormat="1" applyAlignment="1">
      <alignment vertical="center"/>
    </xf>
    <xf numFmtId="0" fontId="26" fillId="0" borderId="6" xfId="4" applyFill="1" applyBorder="1" applyAlignment="1">
      <alignment horizontal="center" vertical="center"/>
    </xf>
    <xf numFmtId="2" fontId="0" fillId="5" borderId="0" xfId="0" applyNumberFormat="1" applyFill="1"/>
    <xf numFmtId="2" fontId="26" fillId="8" borderId="9" xfId="4" applyNumberFormat="1" applyBorder="1" applyAlignment="1">
      <alignment horizontal="center" vertical="center"/>
    </xf>
    <xf numFmtId="0" fontId="26" fillId="8" borderId="13" xfId="4" applyBorder="1" applyAlignment="1">
      <alignment horizontal="center" vertical="center"/>
    </xf>
    <xf numFmtId="1" fontId="26" fillId="8" borderId="7" xfId="4" applyNumberFormat="1" applyBorder="1" applyAlignment="1">
      <alignment horizontal="center" vertical="center"/>
    </xf>
    <xf numFmtId="0" fontId="27" fillId="5" borderId="0" xfId="0" applyFont="1" applyFill="1" applyAlignment="1">
      <alignment horizontal="center"/>
    </xf>
    <xf numFmtId="0" fontId="27" fillId="5" borderId="0" xfId="0" applyFont="1" applyFill="1"/>
    <xf numFmtId="0" fontId="28" fillId="9" borderId="0" xfId="0" applyFont="1" applyFill="1"/>
    <xf numFmtId="2" fontId="28" fillId="9" borderId="0" xfId="0" applyNumberFormat="1" applyFont="1" applyFill="1"/>
    <xf numFmtId="0" fontId="28" fillId="0" borderId="0" xfId="0" applyFont="1"/>
    <xf numFmtId="2" fontId="28" fillId="0" borderId="0" xfId="0" applyNumberFormat="1" applyFont="1"/>
    <xf numFmtId="0" fontId="27" fillId="0" borderId="0" xfId="0" applyFont="1"/>
    <xf numFmtId="0" fontId="0" fillId="0" borderId="0" xfId="0"/>
    <xf numFmtId="0" fontId="2" fillId="5" borderId="0" xfId="0" applyFont="1" applyFill="1" applyAlignment="1">
      <alignment horizontal="center"/>
    </xf>
    <xf numFmtId="0" fontId="27" fillId="5" borderId="0" xfId="0" applyFont="1" applyFill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" fontId="26" fillId="8" borderId="14" xfId="4" applyNumberFormat="1" applyBorder="1" applyAlignment="1">
      <alignment horizontal="center" vertical="center"/>
    </xf>
    <xf numFmtId="1" fontId="26" fillId="8" borderId="9" xfId="4" applyNumberFormat="1" applyBorder="1" applyAlignment="1">
      <alignment horizontal="center" vertical="center"/>
    </xf>
    <xf numFmtId="2" fontId="26" fillId="8" borderId="12" xfId="4" applyNumberFormat="1" applyBorder="1" applyAlignment="1">
      <alignment horizontal="center" vertical="center"/>
    </xf>
    <xf numFmtId="2" fontId="26" fillId="8" borderId="10" xfId="4" applyNumberFormat="1" applyBorder="1" applyAlignment="1">
      <alignment horizontal="center" vertical="center"/>
    </xf>
    <xf numFmtId="2" fontId="9" fillId="3" borderId="12" xfId="0" applyNumberFormat="1" applyFont="1" applyFill="1" applyBorder="1" applyAlignment="1">
      <alignment horizontal="center" vertical="center"/>
    </xf>
    <xf numFmtId="2" fontId="9" fillId="3" borderId="10" xfId="0" applyNumberFormat="1" applyFont="1" applyFill="1" applyBorder="1" applyAlignment="1">
      <alignment horizontal="center" vertical="center"/>
    </xf>
    <xf numFmtId="2" fontId="5" fillId="3" borderId="14" xfId="0" applyNumberFormat="1" applyFont="1" applyFill="1" applyBorder="1" applyAlignment="1">
      <alignment horizontal="center" vertical="center"/>
    </xf>
    <xf numFmtId="2" fontId="5" fillId="3" borderId="9" xfId="0" applyNumberFormat="1" applyFont="1" applyFill="1" applyBorder="1" applyAlignment="1">
      <alignment horizontal="center" vertical="center"/>
    </xf>
    <xf numFmtId="2" fontId="5" fillId="3" borderId="13" xfId="0" applyNumberFormat="1" applyFont="1" applyFill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2" fontId="26" fillId="7" borderId="14" xfId="3" applyNumberFormat="1" applyBorder="1" applyAlignment="1">
      <alignment horizontal="center" vertical="center"/>
    </xf>
    <xf numFmtId="2" fontId="26" fillId="7" borderId="9" xfId="3" applyNumberFormat="1" applyBorder="1" applyAlignment="1">
      <alignment horizontal="center" vertical="center"/>
    </xf>
    <xf numFmtId="2" fontId="26" fillId="7" borderId="12" xfId="3" applyNumberFormat="1" applyBorder="1" applyAlignment="1">
      <alignment horizontal="center" vertical="center"/>
    </xf>
    <xf numFmtId="2" fontId="26" fillId="7" borderId="10" xfId="3" applyNumberFormat="1" applyBorder="1" applyAlignment="1">
      <alignment horizontal="center" vertical="center"/>
    </xf>
    <xf numFmtId="2" fontId="26" fillId="7" borderId="13" xfId="3" applyNumberFormat="1" applyBorder="1" applyAlignment="1">
      <alignment horizontal="center" vertical="center"/>
    </xf>
    <xf numFmtId="2" fontId="26" fillId="7" borderId="11" xfId="3" applyNumberFormat="1" applyBorder="1" applyAlignment="1">
      <alignment horizontal="center" vertical="center"/>
    </xf>
    <xf numFmtId="2" fontId="26" fillId="8" borderId="14" xfId="4" applyNumberFormat="1" applyBorder="1" applyAlignment="1">
      <alignment horizontal="center" vertical="center"/>
    </xf>
    <xf numFmtId="0" fontId="26" fillId="8" borderId="7" xfId="4" applyBorder="1" applyAlignment="1">
      <alignment horizontal="center" vertical="center"/>
    </xf>
    <xf numFmtId="2" fontId="8" fillId="3" borderId="15" xfId="0" applyNumberFormat="1" applyFont="1" applyFill="1" applyBorder="1" applyAlignment="1">
      <alignment horizontal="center" vertical="center"/>
    </xf>
    <xf numFmtId="2" fontId="8" fillId="3" borderId="5" xfId="0" applyNumberFormat="1" applyFont="1" applyFill="1" applyBorder="1" applyAlignment="1">
      <alignment horizontal="center" vertical="center"/>
    </xf>
    <xf numFmtId="2" fontId="5" fillId="2" borderId="9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2" fontId="26" fillId="0" borderId="15" xfId="4" applyNumberFormat="1" applyFill="1" applyBorder="1" applyAlignment="1">
      <alignment horizontal="center" vertical="center"/>
    </xf>
    <xf numFmtId="2" fontId="26" fillId="0" borderId="5" xfId="4" applyNumberFormat="1" applyFill="1" applyBorder="1" applyAlignment="1">
      <alignment horizontal="center" vertical="center"/>
    </xf>
    <xf numFmtId="0" fontId="26" fillId="8" borderId="0" xfId="4" applyAlignment="1">
      <alignment horizontal="center" vertical="center"/>
    </xf>
    <xf numFmtId="0" fontId="12" fillId="4" borderId="0" xfId="1" applyAlignment="1">
      <alignment horizontal="center" vertical="center"/>
    </xf>
    <xf numFmtId="0" fontId="26" fillId="7" borderId="0" xfId="3" applyAlignment="1">
      <alignment horizontal="center" vertical="center"/>
    </xf>
    <xf numFmtId="0" fontId="25" fillId="6" borderId="2" xfId="2" applyBorder="1" applyAlignment="1">
      <alignment horizontal="center" vertical="center"/>
    </xf>
    <xf numFmtId="0" fontId="25" fillId="6" borderId="3" xfId="2" applyBorder="1" applyAlignment="1">
      <alignment horizontal="center" vertical="center"/>
    </xf>
    <xf numFmtId="0" fontId="25" fillId="6" borderId="4" xfId="2" applyBorder="1" applyAlignment="1">
      <alignment horizontal="center" vertical="center"/>
    </xf>
  </cellXfs>
  <cellStyles count="5">
    <cellStyle name="60% - Énfasis5" xfId="3" builtinId="48"/>
    <cellStyle name="60% - Énfasis6" xfId="4" builtinId="52"/>
    <cellStyle name="Bueno" xfId="2" builtinId="26"/>
    <cellStyle name="Incorrecto" xfId="1" builtinId="27"/>
    <cellStyle name="Normal" xfId="0" builtinId="0"/>
  </cellStyles>
  <dxfs count="4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C000"/>
      </font>
    </dxf>
    <dxf>
      <font>
        <color rgb="FFFFC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C000"/>
      </font>
    </dxf>
    <dxf>
      <font>
        <color rgb="FFFFC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C000"/>
      </font>
    </dxf>
    <dxf>
      <font>
        <color rgb="FFFFC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0A0C-0052-4A40-8C87-F0711BAB84B7}">
  <dimension ref="A1:BF112"/>
  <sheetViews>
    <sheetView tabSelected="1" zoomScale="85" zoomScaleNormal="85" workbookViewId="0">
      <selection activeCell="A100" sqref="A100"/>
    </sheetView>
  </sheetViews>
  <sheetFormatPr baseColWidth="10" defaultColWidth="9.109375" defaultRowHeight="14.4" x14ac:dyDescent="0.3"/>
  <cols>
    <col min="1" max="1" width="15.6640625" style="1" customWidth="1"/>
    <col min="2" max="2" width="10.6640625" style="1" customWidth="1"/>
    <col min="3" max="3" width="5.6640625" style="1" customWidth="1"/>
    <col min="4" max="4" width="7.88671875" style="1" customWidth="1"/>
    <col min="5" max="5" width="10.6640625" style="1" customWidth="1"/>
    <col min="6" max="8" width="12.6640625" style="1" customWidth="1"/>
    <col min="9" max="10" width="8.6640625" style="1" customWidth="1"/>
    <col min="11" max="11" width="15.6640625" style="1" customWidth="1"/>
    <col min="12" max="14" width="8.6640625" style="1" customWidth="1"/>
    <col min="15" max="17" width="9.88671875" style="1" customWidth="1"/>
    <col min="18" max="18" width="5.6640625" style="1" customWidth="1"/>
    <col min="19" max="19" width="7.109375" style="1" bestFit="1" customWidth="1"/>
    <col min="20" max="22" width="6.6640625" style="1" customWidth="1"/>
    <col min="23" max="24" width="5.6640625" style="1" customWidth="1"/>
    <col min="25" max="29" width="6.6640625" style="1" customWidth="1"/>
    <col min="30" max="31" width="5.6640625" style="1" customWidth="1"/>
    <col min="32" max="33" width="6.6640625" style="1" customWidth="1"/>
    <col min="34" max="34" width="9.88671875" style="1" customWidth="1"/>
    <col min="35" max="36" width="6.6640625" style="1" customWidth="1"/>
    <col min="37" max="38" width="5.6640625" style="1" customWidth="1"/>
    <col min="39" max="42" width="6.6640625" style="1" customWidth="1"/>
    <col min="43" max="44" width="5.6640625" style="1" customWidth="1"/>
    <col min="45" max="48" width="6.6640625" style="1" customWidth="1"/>
    <col min="49" max="50" width="5.6640625" style="1" customWidth="1"/>
    <col min="51" max="55" width="6.6640625" style="1" customWidth="1"/>
    <col min="56" max="58" width="9.109375" style="1"/>
  </cols>
  <sheetData>
    <row r="1" spans="1:58" x14ac:dyDescent="0.3">
      <c r="M1" s="174" t="s">
        <v>0</v>
      </c>
      <c r="N1" s="174"/>
      <c r="O1" s="175" t="s">
        <v>1</v>
      </c>
      <c r="P1" s="175"/>
      <c r="Q1" s="175"/>
      <c r="R1" s="175"/>
    </row>
    <row r="2" spans="1:58" x14ac:dyDescent="0.3">
      <c r="M2" s="176" t="s">
        <v>2</v>
      </c>
      <c r="N2" s="176"/>
    </row>
    <row r="4" spans="1:58" ht="15.6" x14ac:dyDescent="0.3">
      <c r="A4" s="50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AB4" s="5"/>
    </row>
    <row r="5" spans="1:58" s="87" customFormat="1" x14ac:dyDescent="0.3">
      <c r="A5" s="85" t="s">
        <v>82</v>
      </c>
      <c r="B5" s="85"/>
      <c r="C5" s="85"/>
      <c r="D5" s="85"/>
      <c r="E5" s="85"/>
      <c r="F5" s="85" t="s">
        <v>4</v>
      </c>
      <c r="G5" s="85" t="s">
        <v>5</v>
      </c>
      <c r="H5" s="85"/>
      <c r="I5" s="85"/>
      <c r="J5" s="85"/>
      <c r="K5" s="177" t="s">
        <v>6</v>
      </c>
      <c r="L5" s="178"/>
      <c r="M5" s="178"/>
      <c r="N5" s="179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6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</row>
    <row r="6" spans="1:58" ht="15" customHeight="1" x14ac:dyDescent="0.3">
      <c r="A6" s="2" t="s">
        <v>7</v>
      </c>
      <c r="AB6" s="20"/>
    </row>
    <row r="7" spans="1:58" ht="15" customHeight="1" x14ac:dyDescent="0.3">
      <c r="A7" s="18" t="s">
        <v>8</v>
      </c>
      <c r="E7" s="18"/>
      <c r="H7" s="23"/>
      <c r="R7" s="165" t="s">
        <v>9</v>
      </c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24"/>
      <c r="BC7" s="5"/>
    </row>
    <row r="8" spans="1:58" ht="15" customHeight="1" x14ac:dyDescent="0.3">
      <c r="A8" s="3" t="s">
        <v>10</v>
      </c>
      <c r="B8" s="57">
        <v>0.45</v>
      </c>
      <c r="C8" s="5" t="s">
        <v>11</v>
      </c>
      <c r="E8" s="10"/>
      <c r="G8" s="6"/>
      <c r="I8" s="68" t="s">
        <v>12</v>
      </c>
      <c r="J8" s="169" t="s">
        <v>13</v>
      </c>
      <c r="K8" s="170"/>
      <c r="L8" s="171"/>
      <c r="M8" s="67" t="s">
        <v>14</v>
      </c>
      <c r="N8" s="21" t="s">
        <v>15</v>
      </c>
      <c r="R8" s="136" t="s">
        <v>12</v>
      </c>
      <c r="S8" s="137"/>
      <c r="T8" s="137"/>
      <c r="U8" s="137"/>
      <c r="V8" s="138"/>
      <c r="W8" s="136" t="s">
        <v>13</v>
      </c>
      <c r="X8" s="137"/>
      <c r="Y8" s="137"/>
      <c r="Z8" s="137"/>
      <c r="AA8" s="137"/>
      <c r="AB8" s="137"/>
      <c r="AC8" s="138"/>
      <c r="AD8" s="136" t="s">
        <v>16</v>
      </c>
      <c r="AE8" s="137"/>
      <c r="AF8" s="137"/>
      <c r="AG8" s="137"/>
      <c r="AH8" s="137"/>
      <c r="AI8" s="137"/>
      <c r="AJ8" s="138"/>
      <c r="AK8" s="136" t="s">
        <v>17</v>
      </c>
      <c r="AL8" s="137"/>
      <c r="AM8" s="137"/>
      <c r="AN8" s="137"/>
      <c r="AO8" s="137"/>
      <c r="AP8" s="138"/>
      <c r="AQ8" s="136" t="s">
        <v>18</v>
      </c>
      <c r="AR8" s="137"/>
      <c r="AS8" s="137"/>
      <c r="AT8" s="137"/>
      <c r="AU8" s="137"/>
      <c r="AV8" s="137"/>
      <c r="AW8" s="136" t="s">
        <v>19</v>
      </c>
      <c r="AX8" s="137"/>
      <c r="AY8" s="137"/>
      <c r="AZ8" s="137"/>
      <c r="BA8" s="138"/>
      <c r="BB8" s="25" t="s">
        <v>20</v>
      </c>
      <c r="BC8" s="5"/>
    </row>
    <row r="9" spans="1:58" ht="15" customHeight="1" x14ac:dyDescent="0.3">
      <c r="A9" s="3" t="s">
        <v>21</v>
      </c>
      <c r="B9" s="57">
        <f>B19+0.15</f>
        <v>0.4</v>
      </c>
      <c r="C9" s="5" t="s">
        <v>11</v>
      </c>
      <c r="E9" s="11" t="s">
        <v>22</v>
      </c>
      <c r="F9" s="100" t="s">
        <v>23</v>
      </c>
      <c r="G9" s="101" t="s">
        <v>24</v>
      </c>
      <c r="H9" s="101" t="s">
        <v>25</v>
      </c>
      <c r="I9" s="89" t="s">
        <v>26</v>
      </c>
      <c r="J9" s="89" t="s">
        <v>27</v>
      </c>
      <c r="K9" s="90" t="s">
        <v>28</v>
      </c>
      <c r="L9" s="91" t="s">
        <v>29</v>
      </c>
      <c r="M9" s="90" t="s">
        <v>30</v>
      </c>
      <c r="N9" s="121" t="s">
        <v>31</v>
      </c>
      <c r="O9" s="88" t="s">
        <v>32</v>
      </c>
      <c r="P9" s="88" t="s">
        <v>33</v>
      </c>
      <c r="Q9" s="88" t="s">
        <v>34</v>
      </c>
      <c r="R9" s="89" t="s">
        <v>35</v>
      </c>
      <c r="S9" s="90" t="s">
        <v>36</v>
      </c>
      <c r="T9" s="27" t="s">
        <v>26</v>
      </c>
      <c r="U9" s="28" t="s">
        <v>37</v>
      </c>
      <c r="V9" s="28" t="s">
        <v>31</v>
      </c>
      <c r="W9" s="89" t="s">
        <v>35</v>
      </c>
      <c r="X9" s="90" t="s">
        <v>36</v>
      </c>
      <c r="Y9" s="28" t="s">
        <v>27</v>
      </c>
      <c r="Z9" s="113" t="s">
        <v>28</v>
      </c>
      <c r="AA9" s="27" t="s">
        <v>29</v>
      </c>
      <c r="AB9" s="28" t="s">
        <v>37</v>
      </c>
      <c r="AC9" s="28" t="s">
        <v>31</v>
      </c>
      <c r="AD9" s="89" t="s">
        <v>35</v>
      </c>
      <c r="AE9" s="90" t="s">
        <v>36</v>
      </c>
      <c r="AF9" s="90" t="s">
        <v>38</v>
      </c>
      <c r="AG9" s="91" t="s">
        <v>39</v>
      </c>
      <c r="AH9" s="90" t="s">
        <v>40</v>
      </c>
      <c r="AI9" s="28" t="s">
        <v>37</v>
      </c>
      <c r="AJ9" s="28" t="s">
        <v>31</v>
      </c>
      <c r="AK9" s="89" t="s">
        <v>35</v>
      </c>
      <c r="AL9" s="90" t="s">
        <v>36</v>
      </c>
      <c r="AM9" s="90" t="s">
        <v>38</v>
      </c>
      <c r="AN9" s="91" t="s">
        <v>39</v>
      </c>
      <c r="AO9" s="28" t="s">
        <v>37</v>
      </c>
      <c r="AP9" s="28" t="s">
        <v>31</v>
      </c>
      <c r="AQ9" s="89" t="s">
        <v>35</v>
      </c>
      <c r="AR9" s="90" t="s">
        <v>36</v>
      </c>
      <c r="AS9" s="90" t="s">
        <v>38</v>
      </c>
      <c r="AT9" s="91" t="s">
        <v>39</v>
      </c>
      <c r="AU9" s="28" t="s">
        <v>37</v>
      </c>
      <c r="AV9" s="28" t="s">
        <v>31</v>
      </c>
      <c r="AW9" s="89" t="s">
        <v>35</v>
      </c>
      <c r="AX9" s="90" t="s">
        <v>36</v>
      </c>
      <c r="AY9" t="s">
        <v>41</v>
      </c>
      <c r="AZ9" s="28" t="s">
        <v>37</v>
      </c>
      <c r="BA9" s="27" t="s">
        <v>31</v>
      </c>
      <c r="BB9" s="29" t="s">
        <v>42</v>
      </c>
      <c r="BC9" s="5"/>
    </row>
    <row r="10" spans="1:58" ht="15" customHeight="1" x14ac:dyDescent="0.3">
      <c r="A10" s="3" t="s">
        <v>43</v>
      </c>
      <c r="B10" s="4">
        <v>7.4999999999999997E-2</v>
      </c>
      <c r="C10" s="5" t="s">
        <v>11</v>
      </c>
      <c r="D10" s="3"/>
      <c r="E10" s="55"/>
      <c r="F10" s="153">
        <v>7.38</v>
      </c>
      <c r="G10" s="155">
        <v>1.07</v>
      </c>
      <c r="H10" s="157">
        <v>1.07</v>
      </c>
      <c r="I10" s="92">
        <f>T10</f>
        <v>4.1399999999999997</v>
      </c>
      <c r="J10" s="92">
        <f>Y10</f>
        <v>1.19</v>
      </c>
      <c r="K10" s="114">
        <f>Z10</f>
        <v>0.21213203435596431</v>
      </c>
      <c r="L10" s="94">
        <f>AA10</f>
        <v>2.8</v>
      </c>
      <c r="M10" s="95">
        <f>AD10</f>
        <v>13</v>
      </c>
      <c r="N10" s="172">
        <f>BC10</f>
        <v>129.26598610128227</v>
      </c>
      <c r="O10" s="119">
        <f>N10*1.05</f>
        <v>135.72928540634638</v>
      </c>
      <c r="P10" s="120">
        <f>1.05*(V10+V11+AC10+AC11+AJ10+AJ11+AP10+AP11+AV10+AV11)</f>
        <v>111.67109740634641</v>
      </c>
      <c r="Q10" s="120">
        <f>1.05*(BA10+BA11)</f>
        <v>24.058188000000001</v>
      </c>
      <c r="R10" s="107">
        <f>$B$15</f>
        <v>3</v>
      </c>
      <c r="S10" s="93">
        <f>$C$15</f>
        <v>16</v>
      </c>
      <c r="T10" s="30">
        <f>(F10-G10*0.5-H10*0.5)*0.5+G10-0.085</f>
        <v>4.1399999999999997</v>
      </c>
      <c r="U10" s="31">
        <f>T10*R10</f>
        <v>12.419999999999998</v>
      </c>
      <c r="V10" s="32">
        <f>IF(S10=6,0.222,IF(S10=8,0.395,IF(S10=10,0.617,IF(S10=12,0.888,IF(S10=16,1.578,IF(S10=20,2.47,IF(S10=25,3.85,"NO CONT.")))))))*U10</f>
        <v>19.598759999999999</v>
      </c>
      <c r="W10" s="107">
        <f t="shared" ref="W10" si="0">$B$33</f>
        <v>3</v>
      </c>
      <c r="X10" s="93">
        <f>$C$14</f>
        <v>16</v>
      </c>
      <c r="Y10" s="34">
        <f>G10+0.15-0.03</f>
        <v>1.19</v>
      </c>
      <c r="Z10" s="114">
        <f>(AG10-AT10)*2/SQRT(2)</f>
        <v>0.21213203435596431</v>
      </c>
      <c r="AA10" s="30">
        <f t="shared" ref="AA10:AA11" si="1">T10-Y10-Z10*SQRT(2)/2</f>
        <v>2.8</v>
      </c>
      <c r="AB10" s="31">
        <f t="shared" ref="AB10:AB11" si="2">(Y10+Z10+AA10)*W10</f>
        <v>12.606396103067892</v>
      </c>
      <c r="AC10" s="32">
        <f>IF(X10=6,0.222,IF(X10=8,0.395,IF(X10=10,0.617,IF(X10=12,0.888,IF(X10=16,1.578,IF(X10=20,2.47,IF(X10=25,3.85,"NO CONT.")))))))*AB10</f>
        <v>19.892893050641135</v>
      </c>
      <c r="AD10" s="110">
        <f>ROUNDUP((AA10-0.28)/$B$17,0)</f>
        <v>13</v>
      </c>
      <c r="AE10" s="111">
        <f>$B$16</f>
        <v>10</v>
      </c>
      <c r="AF10" s="93">
        <f>$B$8-$B$10*2</f>
        <v>0.30000000000000004</v>
      </c>
      <c r="AG10" s="94">
        <f>$B$9-$B$11*2</f>
        <v>0.30000000000000004</v>
      </c>
      <c r="AH10" s="111">
        <f>$B$17*100</f>
        <v>20</v>
      </c>
      <c r="AI10" s="31">
        <f>(AF10*2+AG10*2+0.14)*AD10</f>
        <v>17.420000000000005</v>
      </c>
      <c r="AJ10" s="32">
        <f>IF(AE10=6,0.222,IF(AE10=8,0.395,IF(AE10=10,0.617,IF(AE10=12,0.888,IF(AE10=16,1.578,IF(AE10=20,2.47,IF(AE10=25,3.85,"NO CONT.")))))))*AI10</f>
        <v>10.748140000000003</v>
      </c>
      <c r="AK10" s="111">
        <v>2</v>
      </c>
      <c r="AL10" s="111">
        <f>$B$35</f>
        <v>10</v>
      </c>
      <c r="AM10" s="111">
        <f t="shared" ref="AM10" si="3">$B$27-$B$29*2</f>
        <v>0.30000000000000004</v>
      </c>
      <c r="AN10" s="111">
        <f>$B$9-$B$11*2</f>
        <v>0.30000000000000004</v>
      </c>
      <c r="AO10" s="31">
        <f>(AM10*2+AN10*2+0.14)*AK10</f>
        <v>2.6800000000000006</v>
      </c>
      <c r="AP10" s="32">
        <f>IF(AL10=6,0.222,IF(AL10=8,0.395,IF(AL10=10,0.617,IF(AL10=12,0.888,IF(AL10=16,1.578,IF(AL10=20,2.47,IF(AL10=25,3.85,"NO CONT.")))))))*AO10</f>
        <v>1.6535600000000004</v>
      </c>
      <c r="AQ10" s="110">
        <v>2</v>
      </c>
      <c r="AR10" s="111">
        <f>$B$16</f>
        <v>10</v>
      </c>
      <c r="AS10" s="93">
        <f>$B$8-$B$10*2</f>
        <v>0.30000000000000004</v>
      </c>
      <c r="AT10" s="94">
        <f>$B$19-$B$21*2</f>
        <v>0.15</v>
      </c>
      <c r="AU10" s="31">
        <f>(AS10*2+AT10*2+0.14)*AQ10</f>
        <v>2.08</v>
      </c>
      <c r="AV10" s="33">
        <f>IF(AR10=6,0.222,IF(AR10=8,0.395,IF(AR10=10,0.617,IF(AR10=12,0.888,IF(AR10=16,1.578,IF(AR10=20,2.47,IF(AR10=25,3.85,"NO CONT.")))))))*AU10</f>
        <v>1.2833600000000001</v>
      </c>
      <c r="AW10" s="110">
        <f>B14</f>
        <v>3</v>
      </c>
      <c r="AX10" s="111">
        <f>$C$15</f>
        <v>16</v>
      </c>
      <c r="AY10">
        <v>2.42</v>
      </c>
      <c r="AZ10" s="77">
        <f>AY10*AW10</f>
        <v>7.26</v>
      </c>
      <c r="BA10" s="32">
        <f>IF(AX10=6,0.222,IF(AX10=8,0.395,IF(AX10=10,0.617,IF(AX10=12,0.888,IF(AX10=16,1.578,IF(AX10=20,2.47,IF(AX10=25,3.85,"NO CONT.")))))))*AZ10</f>
        <v>11.45628</v>
      </c>
      <c r="BB10" s="35">
        <f>BA10+AV10+AP10+AJ10+AC10+V10</f>
        <v>64.632993050641133</v>
      </c>
      <c r="BC10" s="149">
        <f>BB10+BB11</f>
        <v>129.26598610128227</v>
      </c>
    </row>
    <row r="11" spans="1:58" ht="15" customHeight="1" x14ac:dyDescent="0.3">
      <c r="A11" s="3" t="s">
        <v>44</v>
      </c>
      <c r="B11" s="57">
        <v>0.05</v>
      </c>
      <c r="C11" s="5" t="s">
        <v>11</v>
      </c>
      <c r="D11" s="3"/>
      <c r="E11" s="56"/>
      <c r="F11" s="154"/>
      <c r="G11" s="156"/>
      <c r="H11" s="158"/>
      <c r="I11" s="96">
        <f t="shared" ref="I11" si="4">T11</f>
        <v>4.1399999999999997</v>
      </c>
      <c r="J11" s="96">
        <f t="shared" ref="J11:L11" si="5">Y11</f>
        <v>1.19</v>
      </c>
      <c r="K11" s="116">
        <f t="shared" si="5"/>
        <v>0.21213203435596431</v>
      </c>
      <c r="L11" s="97">
        <f t="shared" si="5"/>
        <v>2.8</v>
      </c>
      <c r="M11" s="98">
        <f t="shared" ref="M11" si="6">AD11</f>
        <v>13</v>
      </c>
      <c r="N11" s="173"/>
      <c r="P11" s="84"/>
      <c r="R11" s="108">
        <f>$B$15</f>
        <v>3</v>
      </c>
      <c r="S11" s="109">
        <f>$C$15</f>
        <v>16</v>
      </c>
      <c r="T11" s="36">
        <f>(F10-G10*0.5-H10*0.5)*0.5+H10-0.085</f>
        <v>4.1399999999999997</v>
      </c>
      <c r="U11" s="37">
        <f t="shared" ref="U11" si="7">T11*R11</f>
        <v>12.419999999999998</v>
      </c>
      <c r="V11" s="38">
        <f>IF(S11=6,0.222,IF(S11=8,0.395,IF(S11=10,0.617,IF(S11=12,0.888,IF(S11=16,1.578,IF(S11=20,2.47,IF(S11=25,3.85,"NO CONT.")))))))*U11</f>
        <v>19.598759999999999</v>
      </c>
      <c r="W11" s="108">
        <f>$B$14</f>
        <v>3</v>
      </c>
      <c r="X11" s="109">
        <f>$C$14</f>
        <v>16</v>
      </c>
      <c r="Y11" s="40">
        <f>H10+0.15-0.03</f>
        <v>1.19</v>
      </c>
      <c r="Z11" s="115">
        <f>(AG11-AT11)*2/SQRT(2)</f>
        <v>0.21213203435596431</v>
      </c>
      <c r="AA11" s="36">
        <f t="shared" si="1"/>
        <v>2.8</v>
      </c>
      <c r="AB11" s="37">
        <f t="shared" si="2"/>
        <v>12.606396103067892</v>
      </c>
      <c r="AC11" s="38">
        <f>IF(X11=6,0.222,IF(X11=8,0.395,IF(X11=10,0.617,IF(X11=12,0.888,IF(X11=16,1.578,IF(X11=20,2.47,IF(X11=25,3.85,"NO CONT.")))))))*AB11</f>
        <v>19.892893050641135</v>
      </c>
      <c r="AD11" s="89">
        <f>ROUNDUP((AA11-0.28)/$B$17,0)</f>
        <v>13</v>
      </c>
      <c r="AE11" s="90">
        <f>$B$16</f>
        <v>10</v>
      </c>
      <c r="AF11" s="109">
        <f>$B$8-$B$10*2</f>
        <v>0.30000000000000004</v>
      </c>
      <c r="AG11" s="112">
        <f>$B$9-$B$11*2</f>
        <v>0.30000000000000004</v>
      </c>
      <c r="AH11" s="90">
        <f>$B$17*100</f>
        <v>20</v>
      </c>
      <c r="AI11" s="37">
        <f>(AF11*2+AG11*2+0.14)*AD11</f>
        <v>17.420000000000005</v>
      </c>
      <c r="AJ11" s="38">
        <f>IF(AE11=6,0.222,IF(AE11=8,0.395,IF(AE11=10,0.617,IF(AE11=12,0.888,IF(AE11=16,1.578,IF(AE11=20,2.47,IF(AE11=25,3.85,"NO CONT.")))))))*AI11</f>
        <v>10.748140000000003</v>
      </c>
      <c r="AK11" s="90">
        <v>2</v>
      </c>
      <c r="AL11" s="90">
        <f>$B$16</f>
        <v>10</v>
      </c>
      <c r="AM11" s="90">
        <f>$B$8-$B$10*2</f>
        <v>0.30000000000000004</v>
      </c>
      <c r="AN11" s="90">
        <f>$B$9-$B$11*2</f>
        <v>0.30000000000000004</v>
      </c>
      <c r="AO11" s="37">
        <f t="shared" ref="AO11" si="8">(AM11*2+AN11*2+0.14)*AK11</f>
        <v>2.6800000000000006</v>
      </c>
      <c r="AP11" s="38">
        <f>IF(AL11=6,0.222,IF(AL11=8,0.395,IF(AL11=10,0.617,IF(AL11=12,0.888,IF(AL11=16,1.578,IF(AL11=20,2.47,IF(AL11=25,3.85,"NO CONT.")))))))*AO11</f>
        <v>1.6535600000000004</v>
      </c>
      <c r="AQ11" s="89">
        <v>2</v>
      </c>
      <c r="AR11" s="90">
        <f>$B$16</f>
        <v>10</v>
      </c>
      <c r="AS11" s="109">
        <f>$B$8-$B$10*2</f>
        <v>0.30000000000000004</v>
      </c>
      <c r="AT11" s="112">
        <f>$B$19-$B$21*2</f>
        <v>0.15</v>
      </c>
      <c r="AU11" s="37">
        <f t="shared" ref="AU11" si="9">(AS11*2+AT11*2+0.14)*AQ11</f>
        <v>2.08</v>
      </c>
      <c r="AV11" s="39">
        <f>IF(AR11=6,0.222,IF(AR11=8,0.395,IF(AR11=10,0.617,IF(AR11=12,0.888,IF(AR11=16,1.578,IF(AR11=20,2.47,IF(AR11=25,3.85,"NO CONT.")))))))*AU11</f>
        <v>1.2833600000000001</v>
      </c>
      <c r="AW11" s="118">
        <f>B14</f>
        <v>3</v>
      </c>
      <c r="AX11" s="99">
        <f>$C$14</f>
        <v>16</v>
      </c>
      <c r="AY11">
        <v>2.42</v>
      </c>
      <c r="AZ11" s="80">
        <f t="shared" ref="AZ11" si="10">AY11*AW11</f>
        <v>7.26</v>
      </c>
      <c r="BA11" s="41">
        <f>IF(AX11=6,0.222,IF(AX11=8,0.395,IF(AX11=10,0.617,IF(AX11=12,0.888,IF(AX11=16,1.578,IF(AX11=20,2.47,IF(AX11=25,3.85,"NO CONT.")))))))*AZ11</f>
        <v>11.45628</v>
      </c>
      <c r="BB11" s="35">
        <f>BA11+AV11+AP11+AJ11+AC11+V11</f>
        <v>64.632993050641133</v>
      </c>
      <c r="BC11" s="150"/>
    </row>
    <row r="12" spans="1:58" ht="64.5" customHeight="1" x14ac:dyDescent="0.3">
      <c r="A12" s="3" t="s">
        <v>93</v>
      </c>
      <c r="B12" s="4">
        <v>0.05</v>
      </c>
      <c r="C12" s="5"/>
      <c r="D12" s="3"/>
      <c r="E12"/>
      <c r="F12"/>
      <c r="G12"/>
      <c r="H12"/>
      <c r="I12"/>
      <c r="J12"/>
      <c r="K12" s="117" t="s">
        <v>45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 s="133"/>
    </row>
    <row r="13" spans="1:58" ht="15" customHeight="1" x14ac:dyDescent="0.3">
      <c r="A13" s="18" t="s">
        <v>46</v>
      </c>
      <c r="C13" s="5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s="134" t="s">
        <v>47</v>
      </c>
      <c r="U13" s="134"/>
      <c r="V13" s="134"/>
      <c r="W13" s="134"/>
      <c r="X13" s="134"/>
      <c r="Y13" s="134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s="133"/>
    </row>
    <row r="14" spans="1:58" ht="15" customHeight="1" x14ac:dyDescent="0.3">
      <c r="A14" s="3" t="s">
        <v>48</v>
      </c>
      <c r="B14" s="102">
        <v>3</v>
      </c>
      <c r="C14" s="103">
        <v>16</v>
      </c>
      <c r="E14"/>
      <c r="F14"/>
      <c r="G14"/>
      <c r="H14"/>
      <c r="I14"/>
      <c r="J14"/>
      <c r="K14" s="130"/>
      <c r="L14"/>
      <c r="M14"/>
      <c r="N14"/>
      <c r="O14"/>
      <c r="P14"/>
      <c r="Q14"/>
      <c r="R14"/>
      <c r="S14"/>
      <c r="T14" s="135" t="s">
        <v>50</v>
      </c>
      <c r="U14" s="135"/>
      <c r="V14" s="135"/>
      <c r="W14" s="135" t="s">
        <v>51</v>
      </c>
      <c r="X14" s="135"/>
      <c r="Y14" s="135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s="133"/>
    </row>
    <row r="15" spans="1:58" ht="15" customHeight="1" x14ac:dyDescent="0.3">
      <c r="A15" s="3" t="s">
        <v>52</v>
      </c>
      <c r="B15" s="102">
        <v>3</v>
      </c>
      <c r="C15" s="103">
        <f>C14</f>
        <v>16</v>
      </c>
      <c r="D15" s="53"/>
      <c r="E15"/>
      <c r="F15"/>
      <c r="G15"/>
      <c r="H15"/>
      <c r="I15"/>
      <c r="J15"/>
      <c r="K15" s="131"/>
      <c r="L15"/>
      <c r="M15"/>
      <c r="N15"/>
      <c r="O15"/>
      <c r="P15"/>
      <c r="Q15"/>
      <c r="R15"/>
      <c r="S15"/>
      <c r="T15" s="127" t="s">
        <v>53</v>
      </c>
      <c r="U15" s="127" t="s">
        <v>54</v>
      </c>
      <c r="V15" s="127" t="s">
        <v>55</v>
      </c>
      <c r="W15" s="127" t="s">
        <v>53</v>
      </c>
      <c r="X15" s="127" t="s">
        <v>54</v>
      </c>
      <c r="Y15" s="127" t="s">
        <v>55</v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s="133"/>
    </row>
    <row r="16" spans="1:58" ht="15" customHeight="1" x14ac:dyDescent="0.3">
      <c r="A16" s="3" t="s">
        <v>56</v>
      </c>
      <c r="B16">
        <v>10</v>
      </c>
      <c r="E16"/>
      <c r="F16"/>
      <c r="G16"/>
      <c r="H16"/>
      <c r="I16"/>
      <c r="J16"/>
      <c r="K16" s="131"/>
      <c r="L16"/>
      <c r="M16"/>
      <c r="N16"/>
      <c r="O16"/>
      <c r="P16"/>
      <c r="Q16"/>
      <c r="R16"/>
      <c r="S16" s="126" t="s">
        <v>84</v>
      </c>
      <c r="T16" s="122">
        <f>AS10+($B$11*2)</f>
        <v>0.4</v>
      </c>
      <c r="U16" s="122">
        <f>AT10+($B$10*2)</f>
        <v>0.3</v>
      </c>
      <c r="V16" s="122">
        <f>J10+$B$12</f>
        <v>1.24</v>
      </c>
      <c r="W16" s="122">
        <f>AF10+($B$11*2)</f>
        <v>0.4</v>
      </c>
      <c r="X16" s="122">
        <f>AG10+($B$10*2)</f>
        <v>0.45000000000000007</v>
      </c>
      <c r="Y16" s="122">
        <f>I10-J10+$B$12</f>
        <v>2.9999999999999996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 s="133"/>
    </row>
    <row r="17" spans="1:58" ht="15" customHeight="1" x14ac:dyDescent="0.3">
      <c r="A17" s="8" t="s">
        <v>58</v>
      </c>
      <c r="B17">
        <v>0.2</v>
      </c>
      <c r="C17" s="5" t="s">
        <v>11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 s="126" t="s">
        <v>85</v>
      </c>
      <c r="T17" s="122">
        <f>AS11+($B$11*2)</f>
        <v>0.4</v>
      </c>
      <c r="U17" s="122">
        <f>AT11+($B$10*2)</f>
        <v>0.3</v>
      </c>
      <c r="V17" s="122">
        <f>J11+$B$12</f>
        <v>1.24</v>
      </c>
      <c r="W17" s="122">
        <f>AF11+($B$11*2)</f>
        <v>0.4</v>
      </c>
      <c r="X17" s="122">
        <f>AG11+($B$10*2)</f>
        <v>0.45000000000000007</v>
      </c>
      <c r="Y17" s="122">
        <f>I11-J11+$B$12</f>
        <v>2.9999999999999996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s="133"/>
    </row>
    <row r="18" spans="1:58" ht="16.5" customHeight="1" x14ac:dyDescent="0.3">
      <c r="A18" s="10" t="s">
        <v>59</v>
      </c>
      <c r="B18" s="7"/>
      <c r="C18" s="8"/>
      <c r="D18" s="9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s="133"/>
    </row>
    <row r="19" spans="1:58" ht="15" customHeight="1" x14ac:dyDescent="0.3">
      <c r="A19" s="3" t="s">
        <v>60</v>
      </c>
      <c r="B19" s="105">
        <v>0.25</v>
      </c>
      <c r="C19" s="52" t="s">
        <v>11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s="133"/>
    </row>
    <row r="20" spans="1:58" ht="15" customHeight="1" x14ac:dyDescent="0.3">
      <c r="A20" s="3"/>
      <c r="B20" s="54" t="s">
        <v>61</v>
      </c>
      <c r="C20" s="8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 s="133"/>
    </row>
    <row r="21" spans="1:58" ht="15" customHeight="1" x14ac:dyDescent="0.3">
      <c r="A21" s="3" t="s">
        <v>62</v>
      </c>
      <c r="B21">
        <v>0.05</v>
      </c>
      <c r="C21" s="5" t="s">
        <v>11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s="133"/>
    </row>
    <row r="22" spans="1:58" ht="15" customHeight="1" x14ac:dyDescent="0.3">
      <c r="A22" s="3"/>
      <c r="B22" s="19"/>
      <c r="C22" s="5"/>
      <c r="E22" s="16"/>
      <c r="F22" s="14"/>
      <c r="G22" s="14"/>
      <c r="H22" s="14"/>
      <c r="I22" s="59"/>
      <c r="J22" s="59"/>
      <c r="K22" s="59"/>
      <c r="L22" s="59"/>
      <c r="M22" s="64" t="s">
        <v>63</v>
      </c>
      <c r="N22" s="59"/>
      <c r="R22" s="62"/>
      <c r="S22"/>
      <c r="T22" s="44"/>
      <c r="U22" s="43"/>
      <c r="V22" s="43"/>
      <c r="W22" s="63"/>
      <c r="X22" s="43"/>
      <c r="Y22" s="44"/>
      <c r="Z22" s="58"/>
      <c r="AB22" s="43"/>
      <c r="AC22" s="43"/>
      <c r="AD22" s="81"/>
      <c r="AE22" s="23"/>
      <c r="AF22" s="43"/>
      <c r="AG22" s="43"/>
      <c r="AH22" s="43"/>
      <c r="AI22" s="43"/>
      <c r="AJ22" s="43"/>
      <c r="AK22" s="23"/>
      <c r="AL22" s="23"/>
      <c r="AM22" s="43"/>
      <c r="AN22" s="43"/>
      <c r="AO22" s="43"/>
      <c r="AP22" s="43"/>
      <c r="AQ22" s="23"/>
      <c r="AR22" s="23"/>
      <c r="AS22" s="43"/>
      <c r="AT22" s="43"/>
      <c r="AU22" s="43"/>
      <c r="AV22" s="43"/>
      <c r="AW22" s="23"/>
      <c r="AX22" s="23"/>
      <c r="AY22" s="23"/>
      <c r="AZ22" s="23"/>
      <c r="BA22" s="43"/>
      <c r="BB22" s="44"/>
      <c r="BC22" s="23"/>
    </row>
    <row r="23" spans="1:58" ht="15.6" x14ac:dyDescent="0.3">
      <c r="A23" s="60"/>
      <c r="Z23" s="61"/>
      <c r="AA23" s="48"/>
      <c r="AB23" s="5"/>
    </row>
    <row r="24" spans="1:58" s="87" customFormat="1" x14ac:dyDescent="0.3">
      <c r="A24" s="85" t="s">
        <v>86</v>
      </c>
      <c r="B24" s="85"/>
      <c r="C24" s="85"/>
      <c r="D24" s="85"/>
      <c r="E24" s="85"/>
      <c r="F24" s="85" t="s">
        <v>64</v>
      </c>
      <c r="G24" s="85" t="s">
        <v>5</v>
      </c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6"/>
      <c r="AA24" s="86"/>
      <c r="AB24" s="86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</row>
    <row r="25" spans="1:58" ht="15" customHeight="1" x14ac:dyDescent="0.3">
      <c r="A25" s="2" t="s">
        <v>7</v>
      </c>
      <c r="Z25" s="49"/>
      <c r="AA25" s="20"/>
      <c r="AB25" s="20"/>
    </row>
    <row r="26" spans="1:58" ht="15" customHeight="1" x14ac:dyDescent="0.3">
      <c r="A26" s="18" t="s">
        <v>8</v>
      </c>
      <c r="E26" s="18"/>
      <c r="H26" s="23"/>
      <c r="R26" s="165" t="s">
        <v>9</v>
      </c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24"/>
      <c r="BC26" s="5"/>
    </row>
    <row r="27" spans="1:58" ht="15" customHeight="1" x14ac:dyDescent="0.3">
      <c r="A27" s="3" t="s">
        <v>10</v>
      </c>
      <c r="B27" s="57">
        <v>0.45</v>
      </c>
      <c r="C27" s="5" t="s">
        <v>11</v>
      </c>
      <c r="E27" s="10"/>
      <c r="G27" s="6"/>
      <c r="I27" s="68" t="s">
        <v>12</v>
      </c>
      <c r="J27" s="169" t="s">
        <v>13</v>
      </c>
      <c r="K27" s="170"/>
      <c r="L27" s="171"/>
      <c r="M27" s="67" t="s">
        <v>14</v>
      </c>
      <c r="N27" s="21" t="s">
        <v>15</v>
      </c>
      <c r="P27" s="84"/>
      <c r="R27" s="136" t="s">
        <v>12</v>
      </c>
      <c r="S27" s="137"/>
      <c r="T27" s="137"/>
      <c r="U27" s="137"/>
      <c r="V27" s="138"/>
      <c r="W27" s="136" t="s">
        <v>13</v>
      </c>
      <c r="X27" s="137"/>
      <c r="Y27" s="137"/>
      <c r="Z27" s="137"/>
      <c r="AA27" s="137"/>
      <c r="AB27" s="137"/>
      <c r="AC27" s="138"/>
      <c r="AD27" s="136" t="s">
        <v>16</v>
      </c>
      <c r="AE27" s="137"/>
      <c r="AF27" s="137"/>
      <c r="AG27" s="137"/>
      <c r="AH27" s="137"/>
      <c r="AI27" s="137"/>
      <c r="AJ27" s="138"/>
      <c r="AK27" s="136" t="s">
        <v>17</v>
      </c>
      <c r="AL27" s="137"/>
      <c r="AM27" s="137"/>
      <c r="AN27" s="137"/>
      <c r="AO27" s="137"/>
      <c r="AP27" s="138"/>
      <c r="AQ27" s="136" t="s">
        <v>18</v>
      </c>
      <c r="AR27" s="137"/>
      <c r="AS27" s="137"/>
      <c r="AT27" s="137"/>
      <c r="AU27" s="137"/>
      <c r="AV27" s="137"/>
      <c r="AW27" s="136" t="s">
        <v>19</v>
      </c>
      <c r="AX27" s="137"/>
      <c r="AY27" s="137"/>
      <c r="AZ27" s="137"/>
      <c r="BA27" s="138"/>
      <c r="BB27" s="25" t="s">
        <v>20</v>
      </c>
      <c r="BC27" s="5"/>
    </row>
    <row r="28" spans="1:58" ht="15" customHeight="1" x14ac:dyDescent="0.3">
      <c r="A28" s="3" t="s">
        <v>21</v>
      </c>
      <c r="B28" s="57">
        <f>B38+0.15</f>
        <v>0.35</v>
      </c>
      <c r="C28" s="5" t="s">
        <v>11</v>
      </c>
      <c r="E28" s="11" t="s">
        <v>22</v>
      </c>
      <c r="F28" s="12" t="s">
        <v>65</v>
      </c>
      <c r="G28" s="13" t="s">
        <v>66</v>
      </c>
      <c r="H28" s="13" t="s">
        <v>67</v>
      </c>
      <c r="I28" s="89" t="s">
        <v>26</v>
      </c>
      <c r="J28" s="89" t="s">
        <v>27</v>
      </c>
      <c r="K28" s="90" t="s">
        <v>28</v>
      </c>
      <c r="L28" s="91" t="s">
        <v>29</v>
      </c>
      <c r="M28" s="90" t="s">
        <v>30</v>
      </c>
      <c r="N28" s="22" t="s">
        <v>68</v>
      </c>
      <c r="O28" s="88" t="s">
        <v>32</v>
      </c>
      <c r="P28" s="88" t="s">
        <v>33</v>
      </c>
      <c r="Q28" s="88" t="s">
        <v>34</v>
      </c>
      <c r="R28" s="89" t="s">
        <v>35</v>
      </c>
      <c r="S28" s="90" t="s">
        <v>36</v>
      </c>
      <c r="T28" s="27" t="s">
        <v>26</v>
      </c>
      <c r="U28" s="28" t="s">
        <v>37</v>
      </c>
      <c r="V28" s="28" t="s">
        <v>31</v>
      </c>
      <c r="W28" s="89" t="s">
        <v>35</v>
      </c>
      <c r="X28" s="90" t="s">
        <v>36</v>
      </c>
      <c r="Y28" s="28" t="s">
        <v>27</v>
      </c>
      <c r="Z28" s="113" t="s">
        <v>28</v>
      </c>
      <c r="AA28" s="27" t="s">
        <v>29</v>
      </c>
      <c r="AB28" s="28" t="s">
        <v>37</v>
      </c>
      <c r="AC28" s="28" t="s">
        <v>31</v>
      </c>
      <c r="AD28" s="89" t="s">
        <v>35</v>
      </c>
      <c r="AE28" s="90" t="s">
        <v>36</v>
      </c>
      <c r="AF28" s="90" t="s">
        <v>38</v>
      </c>
      <c r="AG28" s="91" t="s">
        <v>39</v>
      </c>
      <c r="AH28" s="90" t="s">
        <v>40</v>
      </c>
      <c r="AI28" s="28" t="s">
        <v>37</v>
      </c>
      <c r="AJ28" s="28" t="s">
        <v>31</v>
      </c>
      <c r="AK28" s="89" t="s">
        <v>35</v>
      </c>
      <c r="AL28" s="90" t="s">
        <v>36</v>
      </c>
      <c r="AM28" s="90" t="s">
        <v>38</v>
      </c>
      <c r="AN28" s="91" t="s">
        <v>39</v>
      </c>
      <c r="AO28" s="28" t="s">
        <v>37</v>
      </c>
      <c r="AP28" s="28" t="s">
        <v>31</v>
      </c>
      <c r="AQ28" s="89" t="s">
        <v>35</v>
      </c>
      <c r="AR28" s="90" t="s">
        <v>36</v>
      </c>
      <c r="AS28" s="90" t="s">
        <v>38</v>
      </c>
      <c r="AT28" s="91" t="s">
        <v>39</v>
      </c>
      <c r="AU28" s="28" t="s">
        <v>37</v>
      </c>
      <c r="AV28" s="28" t="s">
        <v>31</v>
      </c>
      <c r="AW28" s="89" t="s">
        <v>35</v>
      </c>
      <c r="AX28" s="90" t="s">
        <v>36</v>
      </c>
      <c r="AY28" t="s">
        <v>41</v>
      </c>
      <c r="AZ28" s="28" t="s">
        <v>37</v>
      </c>
      <c r="BA28" s="27" t="s">
        <v>31</v>
      </c>
      <c r="BB28" s="29" t="s">
        <v>42</v>
      </c>
      <c r="BC28" s="5"/>
    </row>
    <row r="29" spans="1:58" ht="15" customHeight="1" x14ac:dyDescent="0.3">
      <c r="A29" s="3" t="s">
        <v>43</v>
      </c>
      <c r="B29" s="4">
        <v>7.4999999999999997E-2</v>
      </c>
      <c r="C29" s="5" t="s">
        <v>11</v>
      </c>
      <c r="D29" s="3"/>
      <c r="E29" s="55"/>
      <c r="F29" s="153">
        <v>6</v>
      </c>
      <c r="G29" s="155">
        <v>0.9</v>
      </c>
      <c r="H29" s="157">
        <v>1</v>
      </c>
      <c r="I29" s="92">
        <f t="shared" ref="I29:I30" si="11">T29</f>
        <v>3.34</v>
      </c>
      <c r="J29" s="92">
        <f t="shared" ref="J29:L30" si="12">Y29</f>
        <v>1.02</v>
      </c>
      <c r="K29" s="114">
        <f t="shared" si="12"/>
        <v>0.2121320343559642</v>
      </c>
      <c r="L29" s="94">
        <f t="shared" si="12"/>
        <v>2.17</v>
      </c>
      <c r="M29" s="95">
        <f t="shared" ref="M29:M30" si="13">AD29</f>
        <v>10</v>
      </c>
      <c r="N29" s="161">
        <f>BC29</f>
        <v>108.37570610128228</v>
      </c>
      <c r="O29" s="119">
        <f>N29*1.05</f>
        <v>113.7944914063464</v>
      </c>
      <c r="P29" s="120">
        <f>1.05*(V29+V30+AC29+AC30+AJ29+AJ30+AP29+AP30+AV29+AV30)</f>
        <v>89.73630340634638</v>
      </c>
      <c r="Q29" s="120">
        <f>1.05*(BA29+BA30)</f>
        <v>24.058188000000001</v>
      </c>
      <c r="R29" s="107">
        <f>$B$34</f>
        <v>3</v>
      </c>
      <c r="S29" s="93">
        <f>$C$33</f>
        <v>16</v>
      </c>
      <c r="T29" s="30">
        <f>(F29-G29*0.5-H29*0.5)*0.5+G29-0.085</f>
        <v>3.34</v>
      </c>
      <c r="U29" s="31">
        <f>T29*R29</f>
        <v>10.02</v>
      </c>
      <c r="V29" s="32">
        <f>IF(S29=6,0.222,IF(S29=8,0.395,IF(S29=10,0.617,IF(S29=12,0.888,IF(S29=16,1.578,IF(S29=20,2.47,IF(S29=25,3.85,"NO CONT.")))))))*U29</f>
        <v>15.81156</v>
      </c>
      <c r="W29" s="107">
        <f>$B$33</f>
        <v>3</v>
      </c>
      <c r="X29" s="93">
        <f>$C$34</f>
        <v>16</v>
      </c>
      <c r="Y29" s="34">
        <f>G29+0.15-0.03</f>
        <v>1.02</v>
      </c>
      <c r="Z29" s="114">
        <f>(AG29-AT29)*2/SQRT(2)</f>
        <v>0.2121320343559642</v>
      </c>
      <c r="AA29" s="30">
        <f t="shared" ref="AA29:AA30" si="14">T29-Y29-Z29*SQRT(2)/2</f>
        <v>2.17</v>
      </c>
      <c r="AB29" s="31">
        <f t="shared" ref="AB29:AB30" si="15">(Y29+Z29+AA29)*W29</f>
        <v>10.206396103067892</v>
      </c>
      <c r="AC29" s="32">
        <f>IF(X29=6,0.222,IF(X29=8,0.395,IF(X29=10,0.617,IF(X29=12,0.888,IF(X29=16,1.578,IF(X29=20,2.47,IF(X29=25,3.85,"NO CONT.")))))))*AB29</f>
        <v>16.105693050641133</v>
      </c>
      <c r="AD29" s="110">
        <f>ROUNDUP((AA29-0.28)/$B$36,0)</f>
        <v>10</v>
      </c>
      <c r="AE29" s="111">
        <f>$B$35</f>
        <v>10</v>
      </c>
      <c r="AF29" s="93">
        <f>$B$27-$B$29*2</f>
        <v>0.30000000000000004</v>
      </c>
      <c r="AG29" s="94">
        <f>$B$28-$B$30*2</f>
        <v>0.24999999999999997</v>
      </c>
      <c r="AH29" s="92">
        <f>$B$36</f>
        <v>0.2</v>
      </c>
      <c r="AI29" s="31">
        <f>(AF29*2+AG29*2+0.14)*AD29</f>
        <v>12.400000000000002</v>
      </c>
      <c r="AJ29" s="32">
        <f>IF(AE29=6,0.222,IF(AE29=8,0.395,IF(AE29=10,0.617,IF(AE29=12,0.888,IF(AE29=16,1.578,IF(AE29=20,2.47,IF(AE29=25,3.85,"NO CONT.")))))))*AI29</f>
        <v>7.6508000000000012</v>
      </c>
      <c r="AK29" s="110">
        <v>2</v>
      </c>
      <c r="AL29" s="111">
        <f>$B$35</f>
        <v>10</v>
      </c>
      <c r="AM29" s="93">
        <f>$B$27-$B$29*2</f>
        <v>0.30000000000000004</v>
      </c>
      <c r="AN29" s="94">
        <f>$B$28-$B$30*2</f>
        <v>0.24999999999999997</v>
      </c>
      <c r="AO29" s="31">
        <f>(AM29*2+AN29*2+0.14)*AK29</f>
        <v>2.4800000000000004</v>
      </c>
      <c r="AP29" s="32">
        <f>IF(AL29=6,0.222,IF(AL29=8,0.395,IF(AL29=10,0.617,IF(AL29=12,0.888,IF(AL29=16,1.578,IF(AL29=20,2.47,IF(AL29=25,3.85,"NO CONT.")))))))*AO29</f>
        <v>1.5301600000000002</v>
      </c>
      <c r="AQ29" s="110">
        <v>2</v>
      </c>
      <c r="AR29" s="111">
        <f>$B$35</f>
        <v>10</v>
      </c>
      <c r="AS29" s="93">
        <f>$B$27-$B$29*2</f>
        <v>0.30000000000000004</v>
      </c>
      <c r="AT29" s="94">
        <f>$B$38-$B$40*2</f>
        <v>0.1</v>
      </c>
      <c r="AU29" s="31">
        <f>(AS29*2+AT29*2+0.14)*AQ29</f>
        <v>1.8800000000000001</v>
      </c>
      <c r="AV29" s="33">
        <f>IF(AR29=6,0.222,IF(AR29=8,0.395,IF(AR29=10,0.617,IF(AR29=12,0.888,IF(AR29=16,1.578,IF(AR29=20,2.47,IF(AR29=25,3.85,"NO CONT.")))))))*AU29</f>
        <v>1.1599600000000001</v>
      </c>
      <c r="AW29" s="110">
        <f>B33</f>
        <v>3</v>
      </c>
      <c r="AX29" s="111">
        <f>$C$33</f>
        <v>16</v>
      </c>
      <c r="AY29">
        <v>2.42</v>
      </c>
      <c r="AZ29" s="77">
        <f>AY29*AW29</f>
        <v>7.26</v>
      </c>
      <c r="BA29" s="32">
        <f>IF(AX29=6,0.222,IF(AX29=8,0.395,IF(AX29=10,0.617,IF(AX29=12,0.888,IF(AX29=16,1.578,IF(AX29=20,2.47,IF(AX29=25,3.85,"NO CONT.")))))))*AZ29</f>
        <v>11.45628</v>
      </c>
      <c r="BB29" s="35">
        <f>BA29+AV29+AP29+AJ29+AC29+V29</f>
        <v>53.714453050641133</v>
      </c>
      <c r="BC29" s="149">
        <f>BB29+BB30</f>
        <v>108.37570610128228</v>
      </c>
    </row>
    <row r="30" spans="1:58" ht="15" customHeight="1" x14ac:dyDescent="0.3">
      <c r="A30" s="3" t="s">
        <v>44</v>
      </c>
      <c r="B30" s="57">
        <v>0.05</v>
      </c>
      <c r="C30" s="5" t="s">
        <v>11</v>
      </c>
      <c r="D30" s="3"/>
      <c r="E30" s="56"/>
      <c r="F30" s="154"/>
      <c r="G30" s="156"/>
      <c r="H30" s="158"/>
      <c r="I30" s="96">
        <f t="shared" si="11"/>
        <v>3.44</v>
      </c>
      <c r="J30" s="96">
        <f t="shared" si="12"/>
        <v>1.1199999999999999</v>
      </c>
      <c r="K30" s="116">
        <f t="shared" si="12"/>
        <v>0.2121320343559642</v>
      </c>
      <c r="L30" s="97">
        <f t="shared" si="12"/>
        <v>2.1700000000000004</v>
      </c>
      <c r="M30" s="98">
        <f t="shared" si="13"/>
        <v>10</v>
      </c>
      <c r="N30" s="162"/>
      <c r="R30" s="108">
        <f>$B$34</f>
        <v>3</v>
      </c>
      <c r="S30" s="109">
        <f>$C$33</f>
        <v>16</v>
      </c>
      <c r="T30" s="36">
        <f>(F29-G29*0.5-H29*0.5)*0.5+H29-0.085</f>
        <v>3.44</v>
      </c>
      <c r="U30" s="37">
        <f t="shared" ref="U30" si="16">T30*R30</f>
        <v>10.32</v>
      </c>
      <c r="V30" s="38">
        <f>IF(S30=6,0.222,IF(S30=8,0.395,IF(S30=10,0.617,IF(S30=12,0.888,IF(S30=16,1.578,IF(S30=20,2.47,IF(S30=25,3.85,"NO CONT.")))))))*U30</f>
        <v>16.284960000000002</v>
      </c>
      <c r="W30" s="108">
        <f>$B$33</f>
        <v>3</v>
      </c>
      <c r="X30" s="109">
        <f>$C$34</f>
        <v>16</v>
      </c>
      <c r="Y30" s="40">
        <f>H29+0.15-0.03</f>
        <v>1.1199999999999999</v>
      </c>
      <c r="Z30" s="114">
        <f>(AG30-AT30)*2/SQRT(2)</f>
        <v>0.2121320343559642</v>
      </c>
      <c r="AA30" s="36">
        <f t="shared" si="14"/>
        <v>2.1700000000000004</v>
      </c>
      <c r="AB30" s="37">
        <f t="shared" si="15"/>
        <v>10.506396103067894</v>
      </c>
      <c r="AC30" s="38">
        <f>IF(X30=6,0.222,IF(X30=8,0.395,IF(X30=10,0.617,IF(X30=12,0.888,IF(X30=16,1.578,IF(X30=20,2.47,IF(X30=25,3.85,"NO CONT.")))))))*AB30</f>
        <v>16.579093050641138</v>
      </c>
      <c r="AD30" s="89">
        <f>ROUNDUP((AA30-0.28)/$B$36,0)</f>
        <v>10</v>
      </c>
      <c r="AE30" s="90">
        <f>$B$35</f>
        <v>10</v>
      </c>
      <c r="AF30" s="109">
        <f>$B$27-$B$29*2</f>
        <v>0.30000000000000004</v>
      </c>
      <c r="AG30" s="112">
        <f>$B$28-$B$30*2</f>
        <v>0.24999999999999997</v>
      </c>
      <c r="AH30" s="123">
        <f>$B$36</f>
        <v>0.2</v>
      </c>
      <c r="AI30" s="37">
        <f>(AF30*2+AG30*2+0.14)*AD30</f>
        <v>12.400000000000002</v>
      </c>
      <c r="AJ30" s="38">
        <f>IF(AE30=6,0.222,IF(AE30=8,0.395,IF(AE30=10,0.617,IF(AE30=12,0.888,IF(AE30=16,1.578,IF(AE30=20,2.47,IF(AE30=25,3.85,"NO CONT.")))))))*AI30</f>
        <v>7.6508000000000012</v>
      </c>
      <c r="AK30" s="89">
        <v>2</v>
      </c>
      <c r="AL30" s="90">
        <f>$B$35</f>
        <v>10</v>
      </c>
      <c r="AM30" s="109">
        <f>$B$27-$B$29*2</f>
        <v>0.30000000000000004</v>
      </c>
      <c r="AN30" s="112">
        <f>$B$28-$B$30*2</f>
        <v>0.24999999999999997</v>
      </c>
      <c r="AO30" s="37">
        <f t="shared" ref="AO30" si="17">(AM30*2+AN30*2+0.14)*AK30</f>
        <v>2.4800000000000004</v>
      </c>
      <c r="AP30" s="38">
        <f>IF(AL30=6,0.222,IF(AL30=8,0.395,IF(AL30=10,0.617,IF(AL30=12,0.888,IF(AL30=16,1.578,IF(AL30=20,2.47,IF(AL30=25,3.85,"NO CONT.")))))))*AO30</f>
        <v>1.5301600000000002</v>
      </c>
      <c r="AQ30" s="89">
        <v>2</v>
      </c>
      <c r="AR30" s="90">
        <f>$B$35</f>
        <v>10</v>
      </c>
      <c r="AS30" s="109">
        <f>$B$27-$B$29*2</f>
        <v>0.30000000000000004</v>
      </c>
      <c r="AT30" s="112">
        <f>$B$38-$B$40*2</f>
        <v>0.1</v>
      </c>
      <c r="AU30" s="37">
        <f t="shared" ref="AU30" si="18">(AS30*2+AT30*2+0.14)*AQ30</f>
        <v>1.8800000000000001</v>
      </c>
      <c r="AV30" s="39">
        <f>IF(AR30=6,0.222,IF(AR30=8,0.395,IF(AR30=10,0.617,IF(AR30=12,0.888,IF(AR30=16,1.578,IF(AR30=20,2.47,IF(AR30=25,3.85,"NO CONT.")))))))*AU30</f>
        <v>1.1599600000000001</v>
      </c>
      <c r="AW30" s="118">
        <f>B33</f>
        <v>3</v>
      </c>
      <c r="AX30" s="99">
        <f>$C$33</f>
        <v>16</v>
      </c>
      <c r="AY30">
        <v>2.42</v>
      </c>
      <c r="AZ30" s="80">
        <f t="shared" ref="AZ30" si="19">AY30*AW30</f>
        <v>7.26</v>
      </c>
      <c r="BA30" s="41">
        <f>IF(AX30=6,0.222,IF(AX30=8,0.395,IF(AX30=10,0.617,IF(AX30=12,0.888,IF(AX30=16,1.578,IF(AX30=20,2.47,IF(AX30=25,3.85,"NO CONT.")))))))*AZ30</f>
        <v>11.45628</v>
      </c>
      <c r="BB30" s="35">
        <f>BA30+AV30+AP30+AJ30+AC30+V30</f>
        <v>54.661253050641136</v>
      </c>
      <c r="BC30" s="150"/>
    </row>
    <row r="31" spans="1:58" ht="67.5" customHeight="1" x14ac:dyDescent="0.3">
      <c r="A31" s="3" t="s">
        <v>93</v>
      </c>
      <c r="B31" s="4">
        <v>0.05</v>
      </c>
      <c r="C31" s="5"/>
      <c r="D31" s="3"/>
      <c r="E31"/>
      <c r="F31"/>
      <c r="G31"/>
      <c r="H31"/>
      <c r="I31"/>
      <c r="J31"/>
      <c r="K31" s="117" t="s">
        <v>45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 s="133"/>
      <c r="BD31"/>
      <c r="BE31"/>
      <c r="BF31"/>
    </row>
    <row r="32" spans="1:58" ht="15" customHeight="1" x14ac:dyDescent="0.3">
      <c r="A32" s="18" t="s">
        <v>46</v>
      </c>
      <c r="C32" s="5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134" t="s">
        <v>47</v>
      </c>
      <c r="U32" s="134"/>
      <c r="V32" s="134"/>
      <c r="W32" s="134"/>
      <c r="X32" s="134"/>
      <c r="Y32" s="134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 s="133"/>
      <c r="BD32"/>
      <c r="BE32"/>
      <c r="BF32"/>
    </row>
    <row r="33" spans="1:58" ht="15" customHeight="1" x14ac:dyDescent="0.3">
      <c r="A33" s="3" t="s">
        <v>48</v>
      </c>
      <c r="B33" s="102">
        <v>3</v>
      </c>
      <c r="C33" s="103">
        <v>16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135" t="s">
        <v>69</v>
      </c>
      <c r="U33" s="135"/>
      <c r="V33" s="135"/>
      <c r="W33" s="135" t="s">
        <v>51</v>
      </c>
      <c r="X33" s="135"/>
      <c r="Y33" s="135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 s="133"/>
      <c r="BD33"/>
      <c r="BE33"/>
      <c r="BF33"/>
    </row>
    <row r="34" spans="1:58" ht="15" customHeight="1" x14ac:dyDescent="0.3">
      <c r="A34" s="3" t="s">
        <v>52</v>
      </c>
      <c r="B34" s="102">
        <f>B33</f>
        <v>3</v>
      </c>
      <c r="C34" s="103">
        <f>C33</f>
        <v>16</v>
      </c>
      <c r="D34" s="53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127" t="s">
        <v>53</v>
      </c>
      <c r="U34" s="127" t="s">
        <v>54</v>
      </c>
      <c r="V34" s="127" t="s">
        <v>55</v>
      </c>
      <c r="W34" s="127" t="s">
        <v>53</v>
      </c>
      <c r="X34" s="127" t="s">
        <v>54</v>
      </c>
      <c r="Y34" s="127" t="s">
        <v>55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 s="133"/>
      <c r="BD34"/>
      <c r="BE34"/>
      <c r="BF34"/>
    </row>
    <row r="35" spans="1:58" ht="15" customHeight="1" x14ac:dyDescent="0.3">
      <c r="A35" s="3" t="s">
        <v>56</v>
      </c>
      <c r="B35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 s="126" t="s">
        <v>84</v>
      </c>
      <c r="T35" s="122">
        <f>AS29+($B$30*2)</f>
        <v>0.4</v>
      </c>
      <c r="U35" s="122">
        <f>AT29+($B$29*2)</f>
        <v>0.25</v>
      </c>
      <c r="V35" s="122">
        <f>J29+$B$31</f>
        <v>1.07</v>
      </c>
      <c r="W35" s="122">
        <f>AF29+($B$30*2)</f>
        <v>0.4</v>
      </c>
      <c r="X35" s="122">
        <f>AG29+($B$29*2)</f>
        <v>0.39999999999999997</v>
      </c>
      <c r="Y35" s="122">
        <f>I29-J29+$B$31</f>
        <v>2.3699999999999997</v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s="133"/>
      <c r="BD35"/>
      <c r="BE35"/>
      <c r="BF35"/>
    </row>
    <row r="36" spans="1:58" ht="15" customHeight="1" x14ac:dyDescent="0.3">
      <c r="A36" s="8" t="s">
        <v>58</v>
      </c>
      <c r="B36">
        <v>0.2</v>
      </c>
      <c r="C36" s="5" t="s">
        <v>11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 s="126" t="s">
        <v>85</v>
      </c>
      <c r="T36" s="122">
        <f>AS30+($B$30*2)</f>
        <v>0.4</v>
      </c>
      <c r="U36" s="122">
        <f>AT30+($B$29*2)</f>
        <v>0.25</v>
      </c>
      <c r="V36" s="122">
        <f>J30+$B$31</f>
        <v>1.17</v>
      </c>
      <c r="W36" s="122">
        <f>AF30+($B$30*2)</f>
        <v>0.4</v>
      </c>
      <c r="X36" s="122">
        <f>AG30+($B$29*2)</f>
        <v>0.39999999999999997</v>
      </c>
      <c r="Y36" s="122">
        <f>I30-J30+$B$31</f>
        <v>2.37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 s="133"/>
      <c r="BD36"/>
      <c r="BE36"/>
      <c r="BF36"/>
    </row>
    <row r="37" spans="1:58" ht="15" customHeight="1" x14ac:dyDescent="0.3">
      <c r="A37" s="10" t="s">
        <v>59</v>
      </c>
      <c r="B37" s="7"/>
      <c r="C37" s="8"/>
      <c r="D37" s="9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 s="133"/>
      <c r="BD37"/>
      <c r="BE37"/>
      <c r="BF37"/>
    </row>
    <row r="38" spans="1:58" ht="15" customHeight="1" x14ac:dyDescent="0.3">
      <c r="A38" s="3" t="s">
        <v>60</v>
      </c>
      <c r="B38" s="105">
        <v>0.2</v>
      </c>
      <c r="C38" s="52" t="s">
        <v>11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s="133"/>
      <c r="BD38"/>
      <c r="BE38"/>
      <c r="BF38"/>
    </row>
    <row r="39" spans="1:58" ht="15" customHeight="1" x14ac:dyDescent="0.3">
      <c r="A39" s="3"/>
      <c r="B39" s="54" t="s">
        <v>61</v>
      </c>
      <c r="C39" s="8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 s="133"/>
      <c r="BD39"/>
      <c r="BE39"/>
      <c r="BF39"/>
    </row>
    <row r="40" spans="1:58" ht="15" customHeight="1" x14ac:dyDescent="0.3">
      <c r="A40" s="3" t="s">
        <v>62</v>
      </c>
      <c r="B40">
        <v>0.05</v>
      </c>
      <c r="C40" s="5" t="s">
        <v>11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s="133"/>
      <c r="BD40"/>
      <c r="BE40"/>
      <c r="BF40"/>
    </row>
    <row r="41" spans="1:58" ht="15" customHeight="1" x14ac:dyDescent="0.3">
      <c r="C41" s="17"/>
      <c r="D41" s="4"/>
      <c r="M41" s="64" t="s">
        <v>63</v>
      </c>
      <c r="R41" s="23"/>
      <c r="S41" s="23"/>
      <c r="T41" s="23"/>
      <c r="U41" s="23"/>
      <c r="V41" s="23"/>
      <c r="W41" s="23"/>
      <c r="X41" s="23"/>
      <c r="Y41" s="23"/>
      <c r="Z41" s="48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spans="1:58" ht="15" customHeight="1" x14ac:dyDescent="0.3">
      <c r="C42" s="5"/>
      <c r="R42" s="23"/>
      <c r="S42" s="23"/>
      <c r="T42" s="23"/>
      <c r="U42" s="23"/>
      <c r="V42" s="23"/>
      <c r="W42" s="23"/>
      <c r="X42" s="23"/>
      <c r="Y42" s="23"/>
      <c r="Z42" s="23"/>
      <c r="AD42" s="5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8" s="87" customFormat="1" ht="15" customHeight="1" x14ac:dyDescent="0.3">
      <c r="A43" s="85" t="s">
        <v>87</v>
      </c>
      <c r="B43" s="85"/>
      <c r="C43" s="85"/>
      <c r="D43" s="85"/>
      <c r="E43" s="85"/>
      <c r="F43" s="85" t="s">
        <v>70</v>
      </c>
      <c r="G43" s="85" t="s">
        <v>71</v>
      </c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6"/>
      <c r="AA43" s="86"/>
      <c r="AB43" s="86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</row>
    <row r="44" spans="1:58" ht="15" customHeight="1" x14ac:dyDescent="0.3">
      <c r="A44" s="2" t="s">
        <v>7</v>
      </c>
      <c r="Z44" s="49"/>
      <c r="AA44" s="20"/>
      <c r="AB44" s="20"/>
    </row>
    <row r="45" spans="1:58" ht="15" customHeight="1" x14ac:dyDescent="0.3">
      <c r="A45" s="18" t="s">
        <v>8</v>
      </c>
      <c r="E45" s="18"/>
      <c r="H45" s="23"/>
      <c r="R45" s="165" t="s">
        <v>9</v>
      </c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24"/>
      <c r="BC45" s="5"/>
    </row>
    <row r="46" spans="1:58" ht="15" customHeight="1" x14ac:dyDescent="0.3">
      <c r="A46" s="3" t="s">
        <v>10</v>
      </c>
      <c r="B46" s="57">
        <v>0.5</v>
      </c>
      <c r="C46" s="5" t="s">
        <v>11</v>
      </c>
      <c r="E46" s="10"/>
      <c r="G46" s="6"/>
      <c r="I46" s="69" t="s">
        <v>12</v>
      </c>
      <c r="J46" s="166" t="s">
        <v>13</v>
      </c>
      <c r="K46" s="168"/>
      <c r="L46" s="167"/>
      <c r="M46" s="70" t="s">
        <v>14</v>
      </c>
      <c r="N46" s="65" t="s">
        <v>72</v>
      </c>
      <c r="R46" s="136" t="s">
        <v>12</v>
      </c>
      <c r="S46" s="137"/>
      <c r="T46" s="137"/>
      <c r="U46" s="137"/>
      <c r="V46" s="138"/>
      <c r="W46" s="136" t="s">
        <v>13</v>
      </c>
      <c r="X46" s="137"/>
      <c r="Y46" s="137"/>
      <c r="Z46" s="137"/>
      <c r="AA46" s="137"/>
      <c r="AB46" s="137"/>
      <c r="AC46" s="138"/>
      <c r="AD46" s="136" t="s">
        <v>16</v>
      </c>
      <c r="AE46" s="137"/>
      <c r="AF46" s="137"/>
      <c r="AG46" s="137"/>
      <c r="AH46" s="137"/>
      <c r="AI46" s="137"/>
      <c r="AJ46" s="138"/>
      <c r="AK46" s="136" t="s">
        <v>17</v>
      </c>
      <c r="AL46" s="137"/>
      <c r="AM46" s="137"/>
      <c r="AN46" s="137"/>
      <c r="AO46" s="137"/>
      <c r="AP46" s="138"/>
      <c r="AQ46" s="136" t="s">
        <v>18</v>
      </c>
      <c r="AR46" s="137"/>
      <c r="AS46" s="137"/>
      <c r="AT46" s="137"/>
      <c r="AU46" s="137"/>
      <c r="AV46" s="137"/>
      <c r="AW46" s="136" t="s">
        <v>19</v>
      </c>
      <c r="AX46" s="137"/>
      <c r="AY46" s="137"/>
      <c r="AZ46" s="137"/>
      <c r="BA46" s="138"/>
      <c r="BB46" s="25" t="s">
        <v>20</v>
      </c>
      <c r="BC46" s="5"/>
    </row>
    <row r="47" spans="1:58" ht="15" customHeight="1" x14ac:dyDescent="0.3">
      <c r="A47" s="3" t="s">
        <v>21</v>
      </c>
      <c r="B47" s="57">
        <f>B57+0.15</f>
        <v>0.35</v>
      </c>
      <c r="C47" s="5" t="s">
        <v>11</v>
      </c>
      <c r="E47" s="11" t="s">
        <v>22</v>
      </c>
      <c r="F47" s="12" t="s">
        <v>65</v>
      </c>
      <c r="G47" s="13" t="s">
        <v>66</v>
      </c>
      <c r="H47" s="13" t="s">
        <v>67</v>
      </c>
      <c r="I47" s="89" t="s">
        <v>26</v>
      </c>
      <c r="J47" s="89" t="s">
        <v>27</v>
      </c>
      <c r="K47" s="90" t="s">
        <v>28</v>
      </c>
      <c r="L47" s="91" t="s">
        <v>29</v>
      </c>
      <c r="M47" s="90" t="s">
        <v>30</v>
      </c>
      <c r="N47" s="66" t="s">
        <v>73</v>
      </c>
      <c r="O47" s="88" t="s">
        <v>32</v>
      </c>
      <c r="P47" s="88" t="s">
        <v>33</v>
      </c>
      <c r="Q47" s="88" t="s">
        <v>34</v>
      </c>
      <c r="R47" s="89" t="s">
        <v>35</v>
      </c>
      <c r="S47" s="90" t="s">
        <v>36</v>
      </c>
      <c r="T47" s="27" t="s">
        <v>26</v>
      </c>
      <c r="U47" s="28" t="s">
        <v>37</v>
      </c>
      <c r="V47" s="28" t="s">
        <v>31</v>
      </c>
      <c r="W47" s="89" t="s">
        <v>35</v>
      </c>
      <c r="X47" s="90" t="s">
        <v>36</v>
      </c>
      <c r="Y47" s="28" t="s">
        <v>27</v>
      </c>
      <c r="Z47" s="113" t="s">
        <v>28</v>
      </c>
      <c r="AA47" s="27" t="s">
        <v>29</v>
      </c>
      <c r="AB47" s="28" t="s">
        <v>37</v>
      </c>
      <c r="AC47" s="28" t="s">
        <v>31</v>
      </c>
      <c r="AD47" s="89" t="s">
        <v>35</v>
      </c>
      <c r="AE47" s="90" t="s">
        <v>36</v>
      </c>
      <c r="AF47" s="90" t="s">
        <v>38</v>
      </c>
      <c r="AG47" s="91" t="s">
        <v>39</v>
      </c>
      <c r="AH47" s="90" t="s">
        <v>40</v>
      </c>
      <c r="AI47" s="28" t="s">
        <v>37</v>
      </c>
      <c r="AJ47" s="28" t="s">
        <v>31</v>
      </c>
      <c r="AK47" s="89" t="s">
        <v>35</v>
      </c>
      <c r="AL47" s="90" t="s">
        <v>36</v>
      </c>
      <c r="AM47" s="90" t="s">
        <v>38</v>
      </c>
      <c r="AN47" s="91" t="s">
        <v>39</v>
      </c>
      <c r="AO47" s="28" t="s">
        <v>37</v>
      </c>
      <c r="AP47" s="28" t="s">
        <v>31</v>
      </c>
      <c r="AQ47" s="89" t="s">
        <v>35</v>
      </c>
      <c r="AR47" s="90" t="s">
        <v>36</v>
      </c>
      <c r="AS47" s="90" t="s">
        <v>38</v>
      </c>
      <c r="AT47" s="91" t="s">
        <v>39</v>
      </c>
      <c r="AU47" s="28" t="s">
        <v>37</v>
      </c>
      <c r="AV47" s="28" t="s">
        <v>31</v>
      </c>
      <c r="AW47" s="89" t="s">
        <v>35</v>
      </c>
      <c r="AX47" s="90" t="s">
        <v>36</v>
      </c>
      <c r="AY47" t="s">
        <v>41</v>
      </c>
      <c r="AZ47" s="28" t="s">
        <v>37</v>
      </c>
      <c r="BA47" s="27" t="s">
        <v>31</v>
      </c>
      <c r="BB47" s="29" t="s">
        <v>42</v>
      </c>
      <c r="BC47" s="5"/>
    </row>
    <row r="48" spans="1:58" ht="15" customHeight="1" x14ac:dyDescent="0.3">
      <c r="A48" s="3" t="s">
        <v>43</v>
      </c>
      <c r="B48" s="4">
        <v>7.4999999999999997E-2</v>
      </c>
      <c r="C48" s="5" t="s">
        <v>11</v>
      </c>
      <c r="D48" s="3"/>
      <c r="E48" s="55"/>
      <c r="F48" s="153">
        <v>3.7</v>
      </c>
      <c r="G48" s="155">
        <v>1.5</v>
      </c>
      <c r="H48" s="157">
        <v>0.8</v>
      </c>
      <c r="I48" s="92">
        <f t="shared" ref="I48:I49" si="20">T48</f>
        <v>2.6900000000000004</v>
      </c>
      <c r="J48" s="92">
        <f t="shared" ref="J48:L49" si="21">Y48</f>
        <v>1.6199999999999999</v>
      </c>
      <c r="K48" s="114">
        <f>Z48</f>
        <v>0.2121320343559642</v>
      </c>
      <c r="L48" s="94">
        <f>AA48</f>
        <v>0.9200000000000006</v>
      </c>
      <c r="M48" s="95">
        <f t="shared" ref="M48:M49" si="22">AD48</f>
        <v>4</v>
      </c>
      <c r="N48" s="161">
        <f>BC48</f>
        <v>73.482186101282281</v>
      </c>
      <c r="O48" s="119">
        <f>N48*1.05</f>
        <v>77.156295406346402</v>
      </c>
      <c r="P48" s="120">
        <f>1.05*(V48+V49+AC48+AC49+AJ48+AJ49+AP48+AP49+AV48+AV49)</f>
        <v>60.255915406346389</v>
      </c>
      <c r="Q48" s="120">
        <f>1.05*(BA48+BA49)</f>
        <v>16.900380000000002</v>
      </c>
      <c r="R48" s="107">
        <f>$B$53</f>
        <v>3</v>
      </c>
      <c r="S48" s="93">
        <f>$C$53</f>
        <v>16</v>
      </c>
      <c r="T48" s="30">
        <f>(F48-G48*0.5-H48*0.5)*0.5+G48-0.085</f>
        <v>2.6900000000000004</v>
      </c>
      <c r="U48" s="31">
        <f>T48*R48</f>
        <v>8.07</v>
      </c>
      <c r="V48" s="32">
        <f>IF(S48=6,0.222,IF(S48=8,0.395,IF(S48=10,0.617,IF(S48=12,0.888,IF(S48=16,1.578,IF(S48=20,2.47,IF(S48=25,3.85,"NO CONT.")))))))*U48</f>
        <v>12.73446</v>
      </c>
      <c r="W48" s="107">
        <f>$B$52</f>
        <v>3</v>
      </c>
      <c r="X48" s="93">
        <f>$C$52</f>
        <v>16</v>
      </c>
      <c r="Y48" s="34">
        <f>G48+0.15-0.03</f>
        <v>1.6199999999999999</v>
      </c>
      <c r="Z48" s="114">
        <f>(AG48-AT48)*2/SQRT(2)</f>
        <v>0.2121320343559642</v>
      </c>
      <c r="AA48" s="30">
        <f>T48-Y48-Z48*SQRT(2)/2</f>
        <v>0.9200000000000006</v>
      </c>
      <c r="AB48" s="31">
        <f t="shared" ref="AB48:AB49" si="23">(Y48+Z48+AA48)*W48</f>
        <v>8.2563961030678943</v>
      </c>
      <c r="AC48" s="32">
        <f>IF(X48=6,0.222,IF(X48=8,0.395,IF(X48=10,0.617,IF(X48=12,0.888,IF(X48=16,1.578,IF(X48=20,2.47,IF(X48=25,3.85,"NO CONT.")))))))*AB48</f>
        <v>13.028593050641138</v>
      </c>
      <c r="AD48" s="110">
        <f>ROUNDUP((AA48-0.28)/$B$55,0)</f>
        <v>4</v>
      </c>
      <c r="AE48" s="111">
        <f>$B$54</f>
        <v>10</v>
      </c>
      <c r="AF48" s="93">
        <f>$B$46-$B$48*2</f>
        <v>0.35</v>
      </c>
      <c r="AG48" s="94">
        <f>$B$47-$B$49*2</f>
        <v>0.24999999999999997</v>
      </c>
      <c r="AH48" s="92">
        <f>$B$55</f>
        <v>0.2</v>
      </c>
      <c r="AI48" s="31">
        <f>(AF48*2+AG48*2+0.14)*AD48</f>
        <v>5.3599999999999994</v>
      </c>
      <c r="AJ48" s="32">
        <f>IF(AE48=6,0.222,IF(AE48=8,0.395,IF(AE48=10,0.617,IF(AE48=12,0.888,IF(AE48=16,1.578,IF(AE48=20,2.47,IF(AE48=25,3.85,"NO CONT.")))))))*AI48</f>
        <v>3.3071199999999994</v>
      </c>
      <c r="AK48" s="110">
        <v>2</v>
      </c>
      <c r="AL48" s="111">
        <f>$B$35</f>
        <v>10</v>
      </c>
      <c r="AM48" s="93">
        <f>$B$46-$B$48*2</f>
        <v>0.35</v>
      </c>
      <c r="AN48" s="94">
        <f>$B$47-$B$49*2</f>
        <v>0.24999999999999997</v>
      </c>
      <c r="AO48" s="31">
        <f>(AM48*2+AN48*2+0.14)*AK48</f>
        <v>2.6799999999999997</v>
      </c>
      <c r="AP48" s="32">
        <f>IF(AL48=6,0.222,IF(AL48=8,0.395,IF(AL48=10,0.617,IF(AL48=12,0.888,IF(AL48=16,1.578,IF(AL48=20,2.47,IF(AL48=25,3.85,"NO CONT.")))))))*AO48</f>
        <v>1.6535599999999997</v>
      </c>
      <c r="AQ48" s="110">
        <v>2</v>
      </c>
      <c r="AR48" s="111">
        <f>$B$54</f>
        <v>10</v>
      </c>
      <c r="AS48" s="93">
        <f>$B$46-$B$48*2</f>
        <v>0.35</v>
      </c>
      <c r="AT48" s="94">
        <f>$B$57-$B$59*2</f>
        <v>0.1</v>
      </c>
      <c r="AU48" s="31">
        <f>(AS48*2+AT48*2+0.14)*AQ48</f>
        <v>2.08</v>
      </c>
      <c r="AV48" s="33">
        <f>IF(AR48=6,0.222,IF(AR48=8,0.395,IF(AR48=10,0.617,IF(AR48=12,0.888,IF(AR48=16,1.578,IF(AR48=20,2.47,IF(AR48=25,3.85,"NO CONT.")))))))*AU48</f>
        <v>1.2833600000000001</v>
      </c>
      <c r="AW48" s="110">
        <f>B52</f>
        <v>3</v>
      </c>
      <c r="AX48" s="111">
        <f>$C$52</f>
        <v>16</v>
      </c>
      <c r="AY48">
        <v>1.7</v>
      </c>
      <c r="AZ48" s="31">
        <f>AY48*AW48</f>
        <v>5.0999999999999996</v>
      </c>
      <c r="BA48" s="32">
        <f>IF(AX48=6,0.222,IF(AX48=8,0.395,IF(AX48=10,0.617,IF(AX48=12,0.888,IF(AX48=16,1.578,IF(AX48=20,2.47,IF(AX48=25,3.85,"NO CONT.")))))))*AZ48</f>
        <v>8.0478000000000005</v>
      </c>
      <c r="BB48" s="45">
        <f>BA48+AV48+AP48+AJ48+AC48+V48</f>
        <v>40.054893050641134</v>
      </c>
      <c r="BC48" s="149">
        <f>BB48+BB49</f>
        <v>73.482186101282281</v>
      </c>
    </row>
    <row r="49" spans="1:58" ht="15" customHeight="1" x14ac:dyDescent="0.3">
      <c r="A49" s="3" t="s">
        <v>44</v>
      </c>
      <c r="B49" s="57">
        <v>0.05</v>
      </c>
      <c r="C49" s="5" t="s">
        <v>11</v>
      </c>
      <c r="D49" s="3"/>
      <c r="E49" s="56"/>
      <c r="F49" s="154"/>
      <c r="G49" s="156"/>
      <c r="H49" s="158"/>
      <c r="I49" s="96">
        <f t="shared" si="20"/>
        <v>1.9900000000000002</v>
      </c>
      <c r="J49" s="96">
        <f t="shared" si="21"/>
        <v>0.92</v>
      </c>
      <c r="K49" s="116">
        <f t="shared" si="21"/>
        <v>0.2121320343559642</v>
      </c>
      <c r="L49" s="97">
        <f t="shared" si="21"/>
        <v>0.92000000000000037</v>
      </c>
      <c r="M49" s="98">
        <f t="shared" si="22"/>
        <v>4</v>
      </c>
      <c r="N49" s="162"/>
      <c r="R49" s="108">
        <f>$B$53</f>
        <v>3</v>
      </c>
      <c r="S49" s="109">
        <f>$C$53</f>
        <v>16</v>
      </c>
      <c r="T49" s="36">
        <f>(F48-G48*0.5-H48*0.5)*0.5+H48-0.085</f>
        <v>1.9900000000000002</v>
      </c>
      <c r="U49" s="37">
        <f t="shared" ref="U49" si="24">T49*R49</f>
        <v>5.9700000000000006</v>
      </c>
      <c r="V49" s="38">
        <f>IF(S49=6,0.222,IF(S49=8,0.395,IF(S49=10,0.617,IF(S49=12,0.888,IF(S49=16,1.578,IF(S49=20,2.47,IF(S49=25,3.85,"NO CONT.")))))))*U49</f>
        <v>9.4206600000000016</v>
      </c>
      <c r="W49" s="108">
        <f>$B$52</f>
        <v>3</v>
      </c>
      <c r="X49" s="109">
        <f>$C$52</f>
        <v>16</v>
      </c>
      <c r="Y49" s="40">
        <f>H48+0.15-0.03</f>
        <v>0.92</v>
      </c>
      <c r="Z49" s="114">
        <f>(AG49-AT49)*2/SQRT(2)</f>
        <v>0.2121320343559642</v>
      </c>
      <c r="AA49" s="36">
        <f t="shared" ref="AA49" si="25">T49-Y49-Z49*SQRT(2)/2</f>
        <v>0.92000000000000037</v>
      </c>
      <c r="AB49" s="37">
        <f t="shared" si="23"/>
        <v>6.1563961030678938</v>
      </c>
      <c r="AC49" s="38">
        <f>IF(X49=6,0.222,IF(X49=8,0.395,IF(X49=10,0.617,IF(X49=12,0.888,IF(X49=16,1.578,IF(X49=20,2.47,IF(X49=25,3.85,"NO CONT.")))))))*AB49</f>
        <v>9.714793050641136</v>
      </c>
      <c r="AD49" s="89">
        <f>ROUNDUP((AA49-0.28)/$B$55,0)</f>
        <v>4</v>
      </c>
      <c r="AE49" s="90">
        <f>$B$54</f>
        <v>10</v>
      </c>
      <c r="AF49" s="109">
        <f>$B$46-$B$48*2</f>
        <v>0.35</v>
      </c>
      <c r="AG49" s="112">
        <f>$B$47-$B$49*2</f>
        <v>0.24999999999999997</v>
      </c>
      <c r="AH49" s="123">
        <f>$B$55</f>
        <v>0.2</v>
      </c>
      <c r="AI49" s="37">
        <f t="shared" ref="AI49" si="26">(AF49*2+AG49*2+0.14)*AD49</f>
        <v>5.3599999999999994</v>
      </c>
      <c r="AJ49" s="38">
        <f>IF(AE49=6,0.222,IF(AE49=8,0.395,IF(AE49=10,0.617,IF(AE49=12,0.888,IF(AE49=16,1.578,IF(AE49=20,2.47,IF(AE49=25,3.85,"NO CONT.")))))))*AI49</f>
        <v>3.3071199999999994</v>
      </c>
      <c r="AK49" s="89">
        <v>2</v>
      </c>
      <c r="AL49" s="90">
        <f>$B$35</f>
        <v>10</v>
      </c>
      <c r="AM49" s="109">
        <f>$B$46-$B$48*2</f>
        <v>0.35</v>
      </c>
      <c r="AN49" s="112">
        <f>$B$47-$B$49*2</f>
        <v>0.24999999999999997</v>
      </c>
      <c r="AO49" s="37">
        <f t="shared" ref="AO49" si="27">(AM49*2+AN49*2+0.14)*AK49</f>
        <v>2.6799999999999997</v>
      </c>
      <c r="AP49" s="38">
        <f>IF(AL49=6,0.222,IF(AL49=8,0.395,IF(AL49=10,0.617,IF(AL49=12,0.888,IF(AL49=16,1.578,IF(AL49=20,2.47,IF(AL49=25,3.85,"NO CONT.")))))))*AO49</f>
        <v>1.6535599999999997</v>
      </c>
      <c r="AQ49" s="89">
        <v>2</v>
      </c>
      <c r="AR49" s="90">
        <f>$B$54</f>
        <v>10</v>
      </c>
      <c r="AS49" s="109">
        <f>$B$46-$B$48*2</f>
        <v>0.35</v>
      </c>
      <c r="AT49" s="112">
        <f>$B$57-$B$59*2</f>
        <v>0.1</v>
      </c>
      <c r="AU49" s="37">
        <f t="shared" ref="AU49" si="28">(AS49*2+AT49*2+0.14)*AQ49</f>
        <v>2.08</v>
      </c>
      <c r="AV49" s="39">
        <f>IF(AR49=6,0.222,IF(AR49=8,0.395,IF(AR49=10,0.617,IF(AR49=12,0.888,IF(AR49=16,1.578,IF(AR49=20,2.47,IF(AR49=25,3.85,"NO CONT.")))))))*AU49</f>
        <v>1.2833600000000001</v>
      </c>
      <c r="AW49" s="118">
        <f>B53</f>
        <v>3</v>
      </c>
      <c r="AX49" s="99">
        <f>$C$53</f>
        <v>16</v>
      </c>
      <c r="AY49">
        <v>1.7</v>
      </c>
      <c r="AZ49" s="46">
        <f t="shared" ref="AZ49" si="29">AY49*AW49</f>
        <v>5.0999999999999996</v>
      </c>
      <c r="BA49" s="41">
        <f>IF(AX49=6,0.222,IF(AX49=8,0.395,IF(AX49=10,0.617,IF(AX49=12,0.888,IF(AX49=16,1.578,IF(AX49=20,2.47,IF(AX49=25,3.85,"NO CONT.")))))))*AZ49</f>
        <v>8.0478000000000005</v>
      </c>
      <c r="BB49" s="35">
        <f>BA49+AV49+AP49+AJ49+AC49+V49</f>
        <v>33.42729305064114</v>
      </c>
      <c r="BC49" s="150"/>
    </row>
    <row r="50" spans="1:58" ht="60" customHeight="1" x14ac:dyDescent="0.3">
      <c r="A50" s="3" t="s">
        <v>93</v>
      </c>
      <c r="B50" s="4">
        <v>0.05</v>
      </c>
      <c r="C50" s="5"/>
      <c r="D50" s="3"/>
      <c r="E50"/>
      <c r="F50"/>
      <c r="G50"/>
      <c r="H50"/>
      <c r="I50"/>
      <c r="J50"/>
      <c r="K50" s="117" t="s">
        <v>45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s="133"/>
      <c r="BD50"/>
      <c r="BE50"/>
      <c r="BF50"/>
    </row>
    <row r="51" spans="1:58" ht="15" customHeight="1" x14ac:dyDescent="0.3">
      <c r="A51" s="18" t="s">
        <v>46</v>
      </c>
      <c r="C51" s="5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 s="134" t="s">
        <v>47</v>
      </c>
      <c r="U51" s="134"/>
      <c r="V51" s="134"/>
      <c r="W51" s="134"/>
      <c r="X51" s="134"/>
      <c r="Y51" s="134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 s="133"/>
      <c r="BD51"/>
      <c r="BE51"/>
      <c r="BF51"/>
    </row>
    <row r="52" spans="1:58" ht="15" customHeight="1" x14ac:dyDescent="0.3">
      <c r="A52" s="3" t="s">
        <v>48</v>
      </c>
      <c r="B52" s="102">
        <v>3</v>
      </c>
      <c r="C52" s="103">
        <v>16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 s="135" t="s">
        <v>69</v>
      </c>
      <c r="U52" s="135"/>
      <c r="V52" s="135"/>
      <c r="W52" s="135" t="s">
        <v>51</v>
      </c>
      <c r="X52" s="135"/>
      <c r="Y52" s="135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s="133"/>
      <c r="BD52"/>
      <c r="BE52"/>
      <c r="BF52"/>
    </row>
    <row r="53" spans="1:58" ht="15" customHeight="1" x14ac:dyDescent="0.3">
      <c r="A53" s="3" t="s">
        <v>52</v>
      </c>
      <c r="B53" s="102">
        <f>B52</f>
        <v>3</v>
      </c>
      <c r="C53" s="103">
        <f>C52</f>
        <v>16</v>
      </c>
      <c r="D53" s="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 s="127" t="s">
        <v>53</v>
      </c>
      <c r="U53" s="127" t="s">
        <v>54</v>
      </c>
      <c r="V53" s="127" t="s">
        <v>55</v>
      </c>
      <c r="W53" s="127" t="s">
        <v>53</v>
      </c>
      <c r="X53" s="127" t="s">
        <v>54</v>
      </c>
      <c r="Y53" s="127" t="s">
        <v>55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 s="133"/>
      <c r="BD53"/>
      <c r="BE53"/>
      <c r="BF53"/>
    </row>
    <row r="54" spans="1:58" ht="15" customHeight="1" x14ac:dyDescent="0.3">
      <c r="A54" s="3" t="s">
        <v>56</v>
      </c>
      <c r="B54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 s="126" t="s">
        <v>84</v>
      </c>
      <c r="T54" s="122">
        <f>AS48+($B$49*2)</f>
        <v>0.44999999999999996</v>
      </c>
      <c r="U54" s="122">
        <f>AT48+($B$48*2)</f>
        <v>0.25</v>
      </c>
      <c r="V54" s="122">
        <f>J48+$B$50</f>
        <v>1.67</v>
      </c>
      <c r="W54" s="122">
        <f>AF48+($B$49*2)</f>
        <v>0.44999999999999996</v>
      </c>
      <c r="X54" s="122">
        <f>AG48+($B$48*2)</f>
        <v>0.39999999999999997</v>
      </c>
      <c r="Y54" s="122">
        <f>I48-J48+$B$50</f>
        <v>1.1200000000000006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 s="133"/>
      <c r="BD54"/>
      <c r="BE54"/>
      <c r="BF54"/>
    </row>
    <row r="55" spans="1:58" ht="15" customHeight="1" x14ac:dyDescent="0.3">
      <c r="A55" s="8" t="s">
        <v>58</v>
      </c>
      <c r="B55">
        <v>0.2</v>
      </c>
      <c r="C55" s="5" t="s">
        <v>11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 s="126" t="s">
        <v>85</v>
      </c>
      <c r="T55" s="122">
        <f>AS49+($B$49*2)</f>
        <v>0.44999999999999996</v>
      </c>
      <c r="U55" s="122">
        <f>AT49+($B$48*2)</f>
        <v>0.25</v>
      </c>
      <c r="V55" s="122">
        <f>J49+$B$50</f>
        <v>0.97000000000000008</v>
      </c>
      <c r="W55" s="122">
        <f>AF49+($B$49*2)</f>
        <v>0.44999999999999996</v>
      </c>
      <c r="X55" s="122">
        <f>AG49+($B$48*2)</f>
        <v>0.39999999999999997</v>
      </c>
      <c r="Y55" s="122">
        <f>I49-J49+$B$50</f>
        <v>1.1200000000000003</v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 s="133"/>
      <c r="BD55"/>
      <c r="BE55"/>
      <c r="BF55"/>
    </row>
    <row r="56" spans="1:58" ht="15" customHeight="1" x14ac:dyDescent="0.3">
      <c r="A56" s="10" t="s">
        <v>59</v>
      </c>
      <c r="B56" s="7"/>
      <c r="C56" s="8"/>
      <c r="D56" s="9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 s="133"/>
      <c r="BD56"/>
      <c r="BE56"/>
      <c r="BF56"/>
    </row>
    <row r="57" spans="1:58" ht="15" customHeight="1" x14ac:dyDescent="0.3">
      <c r="A57" s="3" t="s">
        <v>60</v>
      </c>
      <c r="B57" s="105">
        <v>0.2</v>
      </c>
      <c r="C57" s="52" t="s">
        <v>11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 s="133"/>
      <c r="BD57"/>
      <c r="BE57"/>
      <c r="BF57"/>
    </row>
    <row r="58" spans="1:58" ht="15" customHeight="1" x14ac:dyDescent="0.3">
      <c r="A58" s="3"/>
      <c r="B58" s="54" t="s">
        <v>61</v>
      </c>
      <c r="C58" s="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 s="133"/>
      <c r="BD58"/>
      <c r="BE58"/>
      <c r="BF58"/>
    </row>
    <row r="59" spans="1:58" ht="15" customHeight="1" x14ac:dyDescent="0.3">
      <c r="A59" s="3" t="s">
        <v>62</v>
      </c>
      <c r="B59">
        <v>0.05</v>
      </c>
      <c r="C59" s="5" t="s">
        <v>11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 s="133"/>
      <c r="BD59"/>
      <c r="BE59"/>
      <c r="BF59"/>
    </row>
    <row r="60" spans="1:58" ht="15" customHeight="1" x14ac:dyDescent="0.3">
      <c r="C60" s="17"/>
      <c r="I60" s="6"/>
      <c r="J60" s="6"/>
      <c r="K60" s="6"/>
      <c r="L60" s="6"/>
      <c r="M60" s="64" t="s">
        <v>63</v>
      </c>
      <c r="N60" s="6"/>
      <c r="R60" s="23"/>
      <c r="S60" s="23"/>
      <c r="T60" s="23"/>
      <c r="U60" s="23"/>
      <c r="V60" s="23"/>
      <c r="W60" s="23"/>
      <c r="X60" s="23"/>
      <c r="Y60" s="23"/>
      <c r="Z60" s="48"/>
      <c r="AA60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 spans="1:58" ht="15" customHeight="1" x14ac:dyDescent="0.3">
      <c r="I61" s="6"/>
      <c r="J61" s="6"/>
      <c r="K61" s="6"/>
      <c r="L61" s="6"/>
      <c r="M61" s="6"/>
      <c r="N61" s="6"/>
      <c r="R61" s="15"/>
      <c r="S61" s="15"/>
      <c r="T61" s="15"/>
      <c r="U61" s="15"/>
      <c r="V61" s="15"/>
      <c r="W61" s="15"/>
      <c r="X61" s="15"/>
      <c r="Y61" s="15"/>
      <c r="Z61" s="15"/>
      <c r="AA61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</row>
    <row r="62" spans="1:58" s="87" customFormat="1" ht="15" customHeight="1" x14ac:dyDescent="0.3">
      <c r="A62" s="85" t="s">
        <v>88</v>
      </c>
      <c r="B62" s="85"/>
      <c r="C62" s="85"/>
      <c r="D62" s="102"/>
      <c r="E62" s="102"/>
      <c r="F62" s="85" t="s">
        <v>74</v>
      </c>
      <c r="G62" s="85" t="s">
        <v>75</v>
      </c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6"/>
      <c r="AA62" s="86"/>
      <c r="AB62" s="86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</row>
    <row r="63" spans="1:58" ht="15" customHeight="1" x14ac:dyDescent="0.3">
      <c r="A63" s="2" t="s">
        <v>7</v>
      </c>
      <c r="I63" s="6"/>
      <c r="J63" s="6"/>
      <c r="K63" s="6"/>
      <c r="L63" s="6"/>
      <c r="M63" s="6"/>
      <c r="N63" s="6"/>
      <c r="Z63" s="49"/>
      <c r="AA63" s="20"/>
      <c r="AB63" s="20"/>
    </row>
    <row r="64" spans="1:58" ht="15" customHeight="1" x14ac:dyDescent="0.3">
      <c r="A64" s="18" t="s">
        <v>8</v>
      </c>
      <c r="E64" s="18"/>
      <c r="H64" s="23"/>
      <c r="I64" s="6"/>
      <c r="J64" s="6"/>
      <c r="K64" s="6"/>
      <c r="L64" s="6"/>
      <c r="M64" s="6"/>
      <c r="N64" s="6"/>
      <c r="R64" s="165" t="s">
        <v>9</v>
      </c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24"/>
      <c r="BC64" s="5"/>
    </row>
    <row r="65" spans="1:58" ht="15" customHeight="1" x14ac:dyDescent="0.3">
      <c r="A65" s="3" t="s">
        <v>10</v>
      </c>
      <c r="B65" s="57">
        <v>0.45</v>
      </c>
      <c r="C65" s="5" t="s">
        <v>11</v>
      </c>
      <c r="E65" s="10"/>
      <c r="G65" s="6"/>
      <c r="I65" s="166" t="s">
        <v>76</v>
      </c>
      <c r="J65" s="167"/>
      <c r="K65" s="70" t="s">
        <v>14</v>
      </c>
      <c r="L65" s="65" t="s">
        <v>72</v>
      </c>
      <c r="R65" s="136" t="s">
        <v>12</v>
      </c>
      <c r="S65" s="137"/>
      <c r="T65" s="137"/>
      <c r="U65" s="137"/>
      <c r="V65" s="138"/>
      <c r="W65" s="136" t="s">
        <v>13</v>
      </c>
      <c r="X65" s="137"/>
      <c r="Y65" s="137"/>
      <c r="Z65" s="137"/>
      <c r="AA65" s="138"/>
      <c r="AB65" s="71"/>
      <c r="AC65" s="72"/>
      <c r="AD65" s="136" t="s">
        <v>16</v>
      </c>
      <c r="AE65" s="137"/>
      <c r="AF65" s="137"/>
      <c r="AG65" s="137"/>
      <c r="AH65" s="137"/>
      <c r="AI65" s="137"/>
      <c r="AJ65" s="138"/>
      <c r="AK65" s="136"/>
      <c r="AL65" s="137"/>
      <c r="AM65" s="137"/>
      <c r="AN65" s="137"/>
      <c r="AO65" s="137"/>
      <c r="AP65" s="138"/>
      <c r="AQ65" s="136" t="s">
        <v>18</v>
      </c>
      <c r="AR65" s="137"/>
      <c r="AS65" s="137"/>
      <c r="AT65" s="137"/>
      <c r="AU65" s="137"/>
      <c r="AV65" s="137"/>
      <c r="AW65" s="136" t="s">
        <v>19</v>
      </c>
      <c r="AX65" s="137"/>
      <c r="AY65" s="137"/>
      <c r="AZ65" s="137"/>
      <c r="BA65" s="138"/>
      <c r="BB65" s="25" t="s">
        <v>20</v>
      </c>
      <c r="BC65" s="5"/>
    </row>
    <row r="66" spans="1:58" ht="15" customHeight="1" x14ac:dyDescent="0.3">
      <c r="A66" s="3" t="s">
        <v>21</v>
      </c>
      <c r="B66" s="57">
        <f>B76</f>
        <v>0.2</v>
      </c>
      <c r="C66" s="5" t="s">
        <v>11</v>
      </c>
      <c r="E66" s="11" t="s">
        <v>22</v>
      </c>
      <c r="F66" s="12" t="s">
        <v>65</v>
      </c>
      <c r="G66" s="13" t="s">
        <v>66</v>
      </c>
      <c r="H66" s="13" t="s">
        <v>67</v>
      </c>
      <c r="I66" s="89" t="s">
        <v>26</v>
      </c>
      <c r="J66" s="91" t="s">
        <v>27</v>
      </c>
      <c r="K66" s="90" t="s">
        <v>30</v>
      </c>
      <c r="L66" s="66" t="s">
        <v>73</v>
      </c>
      <c r="M66" s="88" t="s">
        <v>32</v>
      </c>
      <c r="N66" s="88" t="s">
        <v>33</v>
      </c>
      <c r="O66" s="88" t="s">
        <v>34</v>
      </c>
      <c r="R66" s="89" t="s">
        <v>35</v>
      </c>
      <c r="S66" s="90" t="s">
        <v>36</v>
      </c>
      <c r="T66" s="27" t="s">
        <v>26</v>
      </c>
      <c r="U66" s="28" t="s">
        <v>37</v>
      </c>
      <c r="V66" s="28" t="s">
        <v>31</v>
      </c>
      <c r="W66" s="89" t="s">
        <v>35</v>
      </c>
      <c r="X66" s="90" t="s">
        <v>36</v>
      </c>
      <c r="Y66" s="28" t="s">
        <v>26</v>
      </c>
      <c r="Z66" s="28" t="s">
        <v>37</v>
      </c>
      <c r="AA66" s="27" t="s">
        <v>31</v>
      </c>
      <c r="AB66" s="151" t="s">
        <v>27</v>
      </c>
      <c r="AC66" s="152"/>
      <c r="AD66" s="89" t="s">
        <v>35</v>
      </c>
      <c r="AE66" s="90" t="s">
        <v>36</v>
      </c>
      <c r="AF66" s="90" t="s">
        <v>38</v>
      </c>
      <c r="AG66" s="91" t="s">
        <v>39</v>
      </c>
      <c r="AH66" s="90" t="s">
        <v>40</v>
      </c>
      <c r="AI66" s="28" t="s">
        <v>37</v>
      </c>
      <c r="AJ66" s="28" t="s">
        <v>31</v>
      </c>
      <c r="AK66" s="26"/>
      <c r="AL66" s="28"/>
      <c r="AM66" s="28"/>
      <c r="AN66" s="28"/>
      <c r="AO66" s="28"/>
      <c r="AP66" s="27"/>
      <c r="AQ66" s="89" t="s">
        <v>35</v>
      </c>
      <c r="AR66" s="90" t="s">
        <v>36</v>
      </c>
      <c r="AS66" s="90" t="s">
        <v>38</v>
      </c>
      <c r="AT66" s="91" t="s">
        <v>39</v>
      </c>
      <c r="AU66" s="28" t="s">
        <v>37</v>
      </c>
      <c r="AV66" s="28" t="s">
        <v>31</v>
      </c>
      <c r="AW66" s="89" t="s">
        <v>35</v>
      </c>
      <c r="AX66" s="90" t="s">
        <v>36</v>
      </c>
      <c r="AY66" t="s">
        <v>41</v>
      </c>
      <c r="AZ66" s="28" t="s">
        <v>37</v>
      </c>
      <c r="BA66" s="27" t="s">
        <v>31</v>
      </c>
      <c r="BB66" s="73" t="s">
        <v>42</v>
      </c>
      <c r="BC66" s="5"/>
    </row>
    <row r="67" spans="1:58" ht="15" customHeight="1" x14ac:dyDescent="0.3">
      <c r="A67" s="3" t="s">
        <v>43</v>
      </c>
      <c r="B67" s="4">
        <v>7.4999999999999997E-2</v>
      </c>
      <c r="C67" s="5" t="s">
        <v>11</v>
      </c>
      <c r="D67" s="3"/>
      <c r="E67" s="55"/>
      <c r="F67" s="153">
        <v>2.9</v>
      </c>
      <c r="G67" s="155">
        <v>1.5</v>
      </c>
      <c r="H67" s="157">
        <v>0.8</v>
      </c>
      <c r="I67" s="92">
        <f t="shared" ref="I67:I68" si="30">T67</f>
        <v>2.29</v>
      </c>
      <c r="J67" s="94">
        <f t="shared" ref="J67:J68" si="31">AB67</f>
        <v>1.47</v>
      </c>
      <c r="K67" s="95">
        <f t="shared" ref="K67:K68" si="32">AD67</f>
        <v>3</v>
      </c>
      <c r="L67" s="161">
        <f>BC67</f>
        <v>65.4482</v>
      </c>
      <c r="M67" s="119">
        <f>L67*1.05</f>
        <v>68.720610000000008</v>
      </c>
      <c r="N67" s="120">
        <f>1.05*(V67+V68+AA67+AA68+AJ67+AJ68+AV67+AV68)</f>
        <v>44.662421999999992</v>
      </c>
      <c r="O67" s="120">
        <f>1.05*(BA67+BA68)</f>
        <v>24.058188000000001</v>
      </c>
      <c r="R67" s="107">
        <f>$B$72</f>
        <v>3</v>
      </c>
      <c r="S67" s="93">
        <f>$C$72</f>
        <v>16</v>
      </c>
      <c r="T67" s="30">
        <f>(F67-G67*0.5-H67*0.5)*0.5+G67-0.085</f>
        <v>2.29</v>
      </c>
      <c r="U67" s="31">
        <f>T67*R67</f>
        <v>6.87</v>
      </c>
      <c r="V67" s="32">
        <f>IF(S67=6,0.222,IF(S67=8,0.395,IF(S67=10,0.617,IF(S67=12,0.888,IF(S67=16,1.578,IF(S67=20,2.47,IF(S67=25,3.85,"NO CONT.")))))))*U67</f>
        <v>10.840860000000001</v>
      </c>
      <c r="W67" s="107">
        <f>$B$71</f>
        <v>3</v>
      </c>
      <c r="X67" s="93">
        <f>$C$71</f>
        <v>16</v>
      </c>
      <c r="Y67" s="34">
        <f t="shared" ref="Y67:Y68" si="33">T67</f>
        <v>2.29</v>
      </c>
      <c r="Z67" s="31">
        <f t="shared" ref="Z67" si="34">(Y67)*W67</f>
        <v>6.87</v>
      </c>
      <c r="AA67" s="32">
        <f>IF(X67=6,0.222,IF(X67=8,0.395,IF(X67=10,0.617,IF(X67=12,0.888,IF(X67=16,1.578,IF(X67=20,2.47,IF(X67=25,3.85,"NO CONT.")))))))*Z67</f>
        <v>10.840860000000001</v>
      </c>
      <c r="AB67" s="145">
        <f>G67-0.03</f>
        <v>1.47</v>
      </c>
      <c r="AC67" s="147"/>
      <c r="AD67" s="110">
        <f>ROUNDUP((Y67-AB67-0.28)/$B$74,0)</f>
        <v>3</v>
      </c>
      <c r="AE67" s="111">
        <f>$B$73</f>
        <v>10</v>
      </c>
      <c r="AF67" s="93">
        <f>$B$65-$B$67*2</f>
        <v>0.30000000000000004</v>
      </c>
      <c r="AG67" s="94">
        <f>$B$66-$B$68*2</f>
        <v>0.1</v>
      </c>
      <c r="AH67" s="92">
        <f>$B$74</f>
        <v>0.2</v>
      </c>
      <c r="AI67" s="31">
        <f>(AF67*2+AG67*2+0.14)*AD67</f>
        <v>2.8200000000000003</v>
      </c>
      <c r="AJ67" s="32">
        <f>IF(AE67=6,0.222,IF(AE67=8,0.395,IF(AE67=10,0.617,IF(AE67=12,0.888,IF(AE67=16,1.578,IF(AE67=20,2.47,IF(AE67=25,3.85,"NO CONT.")))))))*AI67</f>
        <v>1.7399400000000003</v>
      </c>
      <c r="AK67" s="77"/>
      <c r="AL67" s="76"/>
      <c r="AM67" s="33"/>
      <c r="AN67" s="33"/>
      <c r="AO67" s="33"/>
      <c r="AP67" s="32"/>
      <c r="AQ67" s="110">
        <v>2</v>
      </c>
      <c r="AR67" s="111">
        <f>$B$73</f>
        <v>10</v>
      </c>
      <c r="AS67" s="93">
        <f>$B$65-$B$67*2</f>
        <v>0.30000000000000004</v>
      </c>
      <c r="AT67" s="94">
        <f>$B$76-$B$78*2</f>
        <v>0.1</v>
      </c>
      <c r="AU67" s="31">
        <f>(AS67*2+AT67*2+0.14)*AQ67</f>
        <v>1.8800000000000001</v>
      </c>
      <c r="AV67" s="33">
        <f>IF(AR67=6,0.222,IF(AR67=8,0.395,IF(AR67=10,0.617,IF(AR67=12,0.888,IF(AR67=16,1.578,IF(AR67=20,2.47,IF(AR67=25,3.85,"NO CONT.")))))))*AU67</f>
        <v>1.1599600000000001</v>
      </c>
      <c r="AW67" s="110">
        <f>B71</f>
        <v>3</v>
      </c>
      <c r="AX67" s="111">
        <f>$C$72</f>
        <v>16</v>
      </c>
      <c r="AY67">
        <v>2.42</v>
      </c>
      <c r="AZ67" s="77">
        <f>AY67*AW67</f>
        <v>7.26</v>
      </c>
      <c r="BA67" s="32">
        <f>IF(AX67=6,0.222,IF(AX67=8,0.395,IF(AX67=10,0.617,IF(AX67=12,0.888,IF(AX67=16,1.578,IF(AX67=20,2.47,IF(AX67=25,3.85,"NO CONT.")))))))*AZ67</f>
        <v>11.45628</v>
      </c>
      <c r="BB67" s="45">
        <f>BA67+AV67+AJ67+AA67+V67</f>
        <v>36.0379</v>
      </c>
      <c r="BC67" s="149">
        <f>BB67+BB68</f>
        <v>65.4482</v>
      </c>
    </row>
    <row r="68" spans="1:58" ht="15" customHeight="1" x14ac:dyDescent="0.3">
      <c r="A68" s="3" t="s">
        <v>44</v>
      </c>
      <c r="B68" s="57">
        <v>0.05</v>
      </c>
      <c r="C68" s="5" t="s">
        <v>11</v>
      </c>
      <c r="D68" s="3"/>
      <c r="E68" s="56"/>
      <c r="F68" s="154"/>
      <c r="G68" s="156"/>
      <c r="H68" s="158"/>
      <c r="I68" s="96">
        <f t="shared" si="30"/>
        <v>1.59</v>
      </c>
      <c r="J68" s="97">
        <f t="shared" si="31"/>
        <v>0.77</v>
      </c>
      <c r="K68" s="98">
        <f t="shared" si="32"/>
        <v>3</v>
      </c>
      <c r="L68" s="162"/>
      <c r="R68" s="108">
        <f>$B$72</f>
        <v>3</v>
      </c>
      <c r="S68" s="109">
        <f>$C$72</f>
        <v>16</v>
      </c>
      <c r="T68" s="36">
        <f>(F67-G67*0.5-H67*0.5)*0.5+H67-0.085</f>
        <v>1.59</v>
      </c>
      <c r="U68" s="37">
        <f t="shared" ref="U68" si="35">T68*R68</f>
        <v>4.7700000000000005</v>
      </c>
      <c r="V68" s="38">
        <f>IF(S68=6,0.222,IF(S68=8,0.395,IF(S68=10,0.617,IF(S68=12,0.888,IF(S68=16,1.578,IF(S68=20,2.47,IF(S68=25,3.85,"NO CONT.")))))))*U68</f>
        <v>7.5270600000000014</v>
      </c>
      <c r="W68" s="108">
        <f>$B$71</f>
        <v>3</v>
      </c>
      <c r="X68" s="109">
        <f>$C$71</f>
        <v>16</v>
      </c>
      <c r="Y68" s="40">
        <f t="shared" si="33"/>
        <v>1.59</v>
      </c>
      <c r="Z68" s="37">
        <f>(Y68)*W69</f>
        <v>4.7700000000000005</v>
      </c>
      <c r="AA68" s="38">
        <f>IF(X68=6,0.222,IF(X68=8,0.395,IF(X68=10,0.617,IF(X68=12,0.888,IF(X68=16,1.578,IF(X68=20,2.47,IF(X68=25,3.85,"NO CONT.")))))))*Z68</f>
        <v>7.5270600000000014</v>
      </c>
      <c r="AB68" s="163">
        <f>H67-0.03</f>
        <v>0.77</v>
      </c>
      <c r="AC68" s="164"/>
      <c r="AD68" s="89">
        <f>ROUNDUP((Y68-AB68-0.28)/$B$74,0)</f>
        <v>3</v>
      </c>
      <c r="AE68" s="90">
        <f>$B$73</f>
        <v>10</v>
      </c>
      <c r="AF68" s="109">
        <f>$B$65-$B$67*2</f>
        <v>0.30000000000000004</v>
      </c>
      <c r="AG68" s="112">
        <f>$B$66-$B$68*2</f>
        <v>0.1</v>
      </c>
      <c r="AH68" s="123">
        <f>$B$74</f>
        <v>0.2</v>
      </c>
      <c r="AI68" s="37">
        <f t="shared" ref="AI68" si="36">(AF68*2+AG68*2+0.14)*AD68</f>
        <v>2.8200000000000003</v>
      </c>
      <c r="AJ68" s="38">
        <f>IF(AE68=6,0.222,IF(AE68=8,0.395,IF(AE68=10,0.617,IF(AE68=12,0.888,IF(AE68=16,1.578,IF(AE68=20,2.47,IF(AE68=25,3.85,"NO CONT.")))))))*AI68</f>
        <v>1.7399400000000003</v>
      </c>
      <c r="AK68" s="79"/>
      <c r="AL68" s="78"/>
      <c r="AM68" s="39"/>
      <c r="AN68" s="39"/>
      <c r="AO68" s="39"/>
      <c r="AP68" s="38"/>
      <c r="AQ68" s="89">
        <v>2</v>
      </c>
      <c r="AR68" s="90">
        <f>$B$73</f>
        <v>10</v>
      </c>
      <c r="AS68" s="109">
        <f>$B$65-$B$67*2</f>
        <v>0.30000000000000004</v>
      </c>
      <c r="AT68" s="112">
        <f>$B$76-$B$78*2</f>
        <v>0.1</v>
      </c>
      <c r="AU68" s="37">
        <f t="shared" ref="AU68" si="37">(AS68*2+AT68*2+0.14)*AQ68</f>
        <v>1.8800000000000001</v>
      </c>
      <c r="AV68" s="39">
        <f>IF(AR68=6,0.222,IF(AR68=8,0.395,IF(AR68=10,0.617,IF(AR68=12,0.888,IF(AR68=16,1.578,IF(AR68=20,2.47,IF(AR68=25,3.85,"NO CONT.")))))))*AU68</f>
        <v>1.1599600000000001</v>
      </c>
      <c r="AW68" s="118">
        <f>B72</f>
        <v>3</v>
      </c>
      <c r="AX68" s="99">
        <f>$C$71</f>
        <v>16</v>
      </c>
      <c r="AY68">
        <v>2.42</v>
      </c>
      <c r="AZ68" s="80">
        <f t="shared" ref="AZ68" si="38">AY68*AW68</f>
        <v>7.26</v>
      </c>
      <c r="BA68" s="41">
        <f>IF(AX68=6,0.222,IF(AX68=8,0.395,IF(AX68=10,0.617,IF(AX68=12,0.888,IF(AX68=16,1.578,IF(AX68=20,2.47,IF(AX68=25,3.85,"NO CONT.")))))))*AZ68</f>
        <v>11.45628</v>
      </c>
      <c r="BB68" s="47">
        <f>BA68+AV68+AJ68+AA68+V68</f>
        <v>29.410300000000003</v>
      </c>
      <c r="BC68" s="150"/>
    </row>
    <row r="69" spans="1:58" ht="15" customHeight="1" x14ac:dyDescent="0.3">
      <c r="A69" s="3" t="s">
        <v>93</v>
      </c>
      <c r="B69" s="4">
        <v>0.05</v>
      </c>
      <c r="C69" s="5"/>
      <c r="D69" s="3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 s="108">
        <f>$B$71</f>
        <v>3</v>
      </c>
      <c r="X69"/>
      <c r="Y69"/>
      <c r="Z69"/>
      <c r="AA69"/>
      <c r="AB69" s="133"/>
      <c r="AC69" s="133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s="133"/>
      <c r="BD69"/>
      <c r="BE69"/>
      <c r="BF69"/>
    </row>
    <row r="70" spans="1:58" ht="15" customHeight="1" x14ac:dyDescent="0.3">
      <c r="A70" s="18" t="s">
        <v>46</v>
      </c>
      <c r="C70" s="5"/>
      <c r="E70"/>
      <c r="F70"/>
      <c r="G70"/>
      <c r="H70"/>
      <c r="I70"/>
      <c r="J70"/>
      <c r="K70"/>
      <c r="L70"/>
      <c r="M70" s="132"/>
      <c r="N70"/>
      <c r="O70"/>
      <c r="P70"/>
      <c r="Q70"/>
      <c r="R70"/>
      <c r="S70"/>
      <c r="T70" s="134" t="s">
        <v>47</v>
      </c>
      <c r="U70" s="134"/>
      <c r="V70" s="134"/>
      <c r="W70" s="134"/>
      <c r="X70" s="134"/>
      <c r="Y70" s="134"/>
      <c r="Z70"/>
      <c r="AA70"/>
      <c r="AB70" s="133"/>
      <c r="AC70" s="133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 s="133"/>
      <c r="BD70"/>
      <c r="BE70"/>
      <c r="BF70"/>
    </row>
    <row r="71" spans="1:58" ht="15" customHeight="1" x14ac:dyDescent="0.3">
      <c r="A71" s="3" t="s">
        <v>48</v>
      </c>
      <c r="B71" s="102">
        <v>3</v>
      </c>
      <c r="C71" s="103">
        <v>16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 s="135" t="s">
        <v>69</v>
      </c>
      <c r="U71" s="135"/>
      <c r="V71" s="135"/>
      <c r="W71" s="135" t="s">
        <v>51</v>
      </c>
      <c r="X71" s="135"/>
      <c r="Y71" s="135"/>
      <c r="Z71"/>
      <c r="AA71"/>
      <c r="AB71" s="133"/>
      <c r="AC71" s="133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 s="133"/>
      <c r="BD71"/>
      <c r="BE71"/>
      <c r="BF71"/>
    </row>
    <row r="72" spans="1:58" ht="15" customHeight="1" x14ac:dyDescent="0.3">
      <c r="A72" s="3" t="s">
        <v>52</v>
      </c>
      <c r="B72" s="102">
        <f>B71</f>
        <v>3</v>
      </c>
      <c r="C72" s="103">
        <f>C71</f>
        <v>16</v>
      </c>
      <c r="D72" s="53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 s="127" t="s">
        <v>53</v>
      </c>
      <c r="U72" s="127" t="s">
        <v>54</v>
      </c>
      <c r="V72" s="127" t="s">
        <v>55</v>
      </c>
      <c r="W72" s="127" t="s">
        <v>53</v>
      </c>
      <c r="X72" s="127" t="s">
        <v>54</v>
      </c>
      <c r="Y72" s="127" t="s">
        <v>55</v>
      </c>
      <c r="Z72"/>
      <c r="AA72"/>
      <c r="AB72" s="133"/>
      <c r="AC72" s="133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 s="133"/>
      <c r="BD72"/>
      <c r="BE72"/>
      <c r="BF72"/>
    </row>
    <row r="73" spans="1:58" ht="15" customHeight="1" x14ac:dyDescent="0.3">
      <c r="A73" s="3" t="s">
        <v>56</v>
      </c>
      <c r="B73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26" t="s">
        <v>84</v>
      </c>
      <c r="T73" s="122">
        <f>AS67+($B$68*2)</f>
        <v>0.4</v>
      </c>
      <c r="U73" s="122">
        <f>AT67+($B$67*2)</f>
        <v>0.25</v>
      </c>
      <c r="V73" s="122">
        <f>J67+$B$69</f>
        <v>1.52</v>
      </c>
      <c r="W73" s="122">
        <f>AF67+($B$68*2)</f>
        <v>0.4</v>
      </c>
      <c r="X73" s="122">
        <f>AG67+($B$67*2)</f>
        <v>0.25</v>
      </c>
      <c r="Y73" s="122">
        <f>I67-J67+$B$69</f>
        <v>0.87000000000000011</v>
      </c>
      <c r="Z73"/>
      <c r="AA73"/>
      <c r="AB73" s="133"/>
      <c r="AC73" s="13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 s="133"/>
      <c r="BD73"/>
      <c r="BE73"/>
      <c r="BF73"/>
    </row>
    <row r="74" spans="1:58" ht="15" customHeight="1" x14ac:dyDescent="0.3">
      <c r="A74" s="8" t="s">
        <v>58</v>
      </c>
      <c r="B74">
        <v>0.2</v>
      </c>
      <c r="C74" s="5" t="s">
        <v>11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26" t="s">
        <v>85</v>
      </c>
      <c r="T74" s="122">
        <f>AS68+($B$68*2)</f>
        <v>0.4</v>
      </c>
      <c r="U74" s="122">
        <f>AT68+($B$67*2)</f>
        <v>0.25</v>
      </c>
      <c r="V74" s="122">
        <f>J68+$B$69</f>
        <v>0.82000000000000006</v>
      </c>
      <c r="W74" s="122">
        <f>AF68+($B$68*2)</f>
        <v>0.4</v>
      </c>
      <c r="X74" s="122">
        <f>AG68+($B$67*2)</f>
        <v>0.25</v>
      </c>
      <c r="Y74" s="122">
        <f>I68-J68+$B$69</f>
        <v>0.87000000000000011</v>
      </c>
      <c r="Z74"/>
      <c r="AA74"/>
      <c r="AB74" s="133"/>
      <c r="AC74" s="133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 s="133"/>
      <c r="BD74"/>
      <c r="BE74"/>
      <c r="BF74"/>
    </row>
    <row r="75" spans="1:58" ht="15" customHeight="1" x14ac:dyDescent="0.3">
      <c r="A75" s="10" t="s">
        <v>59</v>
      </c>
      <c r="B75" s="7"/>
      <c r="C75" s="8"/>
      <c r="D75" s="9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 s="133"/>
      <c r="AC75" s="133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 s="133"/>
      <c r="BD75"/>
      <c r="BE75"/>
      <c r="BF75"/>
    </row>
    <row r="76" spans="1:58" ht="15" customHeight="1" x14ac:dyDescent="0.3">
      <c r="A76" s="3" t="s">
        <v>60</v>
      </c>
      <c r="B76" s="105">
        <v>0.2</v>
      </c>
      <c r="C76" s="52" t="s">
        <v>11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 s="133"/>
      <c r="AC76" s="133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 s="133"/>
      <c r="BD76"/>
      <c r="BE76"/>
      <c r="BF76"/>
    </row>
    <row r="77" spans="1:58" ht="15" customHeight="1" x14ac:dyDescent="0.3">
      <c r="A77" s="3"/>
      <c r="B77" s="54" t="s">
        <v>61</v>
      </c>
      <c r="C77" s="8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 s="133"/>
      <c r="AC77" s="133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 s="133"/>
      <c r="BD77"/>
      <c r="BE77"/>
      <c r="BF77"/>
    </row>
    <row r="78" spans="1:58" ht="15" customHeight="1" x14ac:dyDescent="0.3">
      <c r="A78" s="3" t="s">
        <v>62</v>
      </c>
      <c r="B78">
        <v>0.05</v>
      </c>
      <c r="C78" s="5" t="s">
        <v>11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 s="133"/>
      <c r="AC78" s="133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 s="133"/>
      <c r="BD78"/>
      <c r="BE78"/>
      <c r="BF78"/>
    </row>
    <row r="79" spans="1:58" ht="15" customHeight="1" x14ac:dyDescent="0.3">
      <c r="C79" s="17"/>
      <c r="K79" s="64" t="s">
        <v>63</v>
      </c>
      <c r="R79" s="23"/>
      <c r="S79" s="23"/>
      <c r="T79" s="23"/>
      <c r="U79" s="23"/>
      <c r="V79" s="23"/>
      <c r="W79" s="23"/>
      <c r="X79" s="23"/>
      <c r="Y79" s="23"/>
      <c r="Z79" s="48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 spans="1:58" ht="15" customHeight="1" x14ac:dyDescent="0.3"/>
    <row r="81" spans="1:58" s="87" customFormat="1" ht="15" customHeight="1" x14ac:dyDescent="0.3">
      <c r="A81" s="85" t="s">
        <v>89</v>
      </c>
      <c r="B81" s="85"/>
      <c r="C81" s="85"/>
      <c r="D81" s="102"/>
      <c r="E81" s="102"/>
      <c r="F81" s="85" t="s">
        <v>77</v>
      </c>
      <c r="G81" s="85"/>
      <c r="H81" s="85" t="s">
        <v>75</v>
      </c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6"/>
      <c r="AA81" s="86"/>
      <c r="AB81" s="86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</row>
    <row r="82" spans="1:58" ht="15" customHeight="1" x14ac:dyDescent="0.3">
      <c r="A82" s="2" t="s">
        <v>7</v>
      </c>
      <c r="I82" s="6"/>
      <c r="J82" s="6"/>
      <c r="K82" s="6"/>
      <c r="L82" s="6"/>
      <c r="M82" s="6"/>
      <c r="N82" s="6"/>
      <c r="Z82" s="49"/>
      <c r="AA82" s="20"/>
      <c r="AB82" s="20"/>
    </row>
    <row r="83" spans="1:58" ht="15" customHeight="1" x14ac:dyDescent="0.3">
      <c r="A83" s="18" t="s">
        <v>8</v>
      </c>
      <c r="E83" s="18"/>
      <c r="H83" s="82"/>
      <c r="I83" s="6"/>
      <c r="J83" s="6"/>
      <c r="K83" s="6"/>
      <c r="L83" s="6"/>
      <c r="M83" s="6"/>
      <c r="N83" s="6"/>
      <c r="R83" s="165" t="s">
        <v>9</v>
      </c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24"/>
      <c r="BC83" s="5"/>
    </row>
    <row r="84" spans="1:58" ht="15" customHeight="1" x14ac:dyDescent="0.3">
      <c r="A84" s="3" t="s">
        <v>10</v>
      </c>
      <c r="B84" s="57">
        <v>0.45</v>
      </c>
      <c r="C84" s="5" t="s">
        <v>11</v>
      </c>
      <c r="E84" s="10"/>
      <c r="G84" s="6"/>
      <c r="I84" s="166" t="s">
        <v>76</v>
      </c>
      <c r="J84" s="167"/>
      <c r="K84" s="166" t="s">
        <v>14</v>
      </c>
      <c r="L84" s="167"/>
      <c r="M84" s="83" t="s">
        <v>78</v>
      </c>
      <c r="N84" s="65" t="s">
        <v>72</v>
      </c>
      <c r="R84" s="136" t="s">
        <v>12</v>
      </c>
      <c r="S84" s="137"/>
      <c r="T84" s="137"/>
      <c r="U84" s="137"/>
      <c r="V84" s="138"/>
      <c r="W84" s="136" t="s">
        <v>13</v>
      </c>
      <c r="X84" s="137"/>
      <c r="Y84" s="137"/>
      <c r="Z84" s="137"/>
      <c r="AA84" s="138"/>
      <c r="AB84" s="71"/>
      <c r="AC84" s="72"/>
      <c r="AD84" s="136" t="s">
        <v>16</v>
      </c>
      <c r="AE84" s="137"/>
      <c r="AF84" s="137"/>
      <c r="AG84" s="137"/>
      <c r="AH84" s="137"/>
      <c r="AI84" s="137"/>
      <c r="AJ84" s="138"/>
      <c r="AK84" s="136" t="s">
        <v>78</v>
      </c>
      <c r="AL84" s="137"/>
      <c r="AM84" s="137"/>
      <c r="AN84" s="137"/>
      <c r="AO84" s="137"/>
      <c r="AP84" s="138"/>
      <c r="AQ84" s="136" t="s">
        <v>17</v>
      </c>
      <c r="AR84" s="137"/>
      <c r="AS84" s="137"/>
      <c r="AT84" s="137"/>
      <c r="AU84" s="137"/>
      <c r="AV84" s="138"/>
      <c r="AW84" s="136" t="s">
        <v>19</v>
      </c>
      <c r="AX84" s="137"/>
      <c r="AY84" s="137"/>
      <c r="AZ84" s="137"/>
      <c r="BA84" s="138"/>
      <c r="BB84" s="25" t="s">
        <v>20</v>
      </c>
      <c r="BC84" s="5"/>
    </row>
    <row r="85" spans="1:58" ht="15" customHeight="1" x14ac:dyDescent="0.3">
      <c r="A85" s="3" t="s">
        <v>21</v>
      </c>
      <c r="B85" s="57">
        <f>B95</f>
        <v>0.2</v>
      </c>
      <c r="C85" s="5" t="s">
        <v>11</v>
      </c>
      <c r="E85" s="11" t="s">
        <v>22</v>
      </c>
      <c r="F85" s="12" t="s">
        <v>65</v>
      </c>
      <c r="G85" s="13" t="s">
        <v>66</v>
      </c>
      <c r="H85" s="13" t="s">
        <v>67</v>
      </c>
      <c r="I85" s="89" t="s">
        <v>26</v>
      </c>
      <c r="J85" s="91" t="s">
        <v>27</v>
      </c>
      <c r="K85" s="89" t="s">
        <v>30</v>
      </c>
      <c r="L85" s="91" t="s">
        <v>90</v>
      </c>
      <c r="M85" s="89" t="s">
        <v>28</v>
      </c>
      <c r="N85" s="66" t="s">
        <v>73</v>
      </c>
      <c r="O85" s="88" t="s">
        <v>32</v>
      </c>
      <c r="P85" s="88" t="s">
        <v>33</v>
      </c>
      <c r="Q85" s="88" t="s">
        <v>34</v>
      </c>
      <c r="R85" s="89" t="s">
        <v>35</v>
      </c>
      <c r="S85" s="90" t="s">
        <v>36</v>
      </c>
      <c r="T85" s="27" t="s">
        <v>26</v>
      </c>
      <c r="U85" s="28" t="s">
        <v>37</v>
      </c>
      <c r="V85" s="28" t="s">
        <v>31</v>
      </c>
      <c r="W85" s="89" t="s">
        <v>35</v>
      </c>
      <c r="X85" s="90" t="s">
        <v>36</v>
      </c>
      <c r="Y85" s="28" t="s">
        <v>26</v>
      </c>
      <c r="Z85" s="28" t="s">
        <v>37</v>
      </c>
      <c r="AA85" s="27" t="s">
        <v>31</v>
      </c>
      <c r="AB85" s="151" t="s">
        <v>27</v>
      </c>
      <c r="AC85" s="152"/>
      <c r="AD85" s="89" t="s">
        <v>35</v>
      </c>
      <c r="AE85" s="90" t="s">
        <v>36</v>
      </c>
      <c r="AF85" s="90" t="s">
        <v>38</v>
      </c>
      <c r="AG85" s="91" t="s">
        <v>39</v>
      </c>
      <c r="AH85" s="90" t="s">
        <v>40</v>
      </c>
      <c r="AI85" s="28" t="s">
        <v>37</v>
      </c>
      <c r="AJ85" s="28" t="s">
        <v>31</v>
      </c>
      <c r="AK85" s="89" t="s">
        <v>35</v>
      </c>
      <c r="AL85" s="90" t="s">
        <v>36</v>
      </c>
      <c r="AM85" s="28" t="s">
        <v>28</v>
      </c>
      <c r="AO85" s="26" t="s">
        <v>37</v>
      </c>
      <c r="AP85" s="27" t="s">
        <v>31</v>
      </c>
      <c r="AQ85" s="89" t="s">
        <v>35</v>
      </c>
      <c r="AR85" s="90" t="s">
        <v>36</v>
      </c>
      <c r="AS85" s="90" t="s">
        <v>38</v>
      </c>
      <c r="AT85" s="91" t="s">
        <v>39</v>
      </c>
      <c r="AU85" s="28" t="s">
        <v>37</v>
      </c>
      <c r="AV85" s="27" t="s">
        <v>31</v>
      </c>
      <c r="AW85" s="89" t="s">
        <v>35</v>
      </c>
      <c r="AX85" s="90" t="s">
        <v>36</v>
      </c>
      <c r="AY85" t="s">
        <v>41</v>
      </c>
      <c r="AZ85" s="28" t="s">
        <v>37</v>
      </c>
      <c r="BA85" s="27" t="s">
        <v>31</v>
      </c>
      <c r="BB85" s="73" t="s">
        <v>42</v>
      </c>
      <c r="BC85" s="5"/>
    </row>
    <row r="86" spans="1:58" ht="15" customHeight="1" x14ac:dyDescent="0.3">
      <c r="A86" s="3" t="s">
        <v>43</v>
      </c>
      <c r="B86" s="4">
        <v>7.4999999999999997E-2</v>
      </c>
      <c r="C86" s="5" t="s">
        <v>11</v>
      </c>
      <c r="D86" s="3"/>
      <c r="E86" s="55"/>
      <c r="F86" s="153">
        <v>2.9</v>
      </c>
      <c r="G86" s="155">
        <v>1.5</v>
      </c>
      <c r="H86" s="157">
        <v>0.8</v>
      </c>
      <c r="I86" s="92">
        <f t="shared" ref="I86:I87" si="39">T86</f>
        <v>2.29</v>
      </c>
      <c r="J86" s="94">
        <f t="shared" ref="J86:J87" si="40">AB86</f>
        <v>1.47</v>
      </c>
      <c r="K86" s="107">
        <f t="shared" ref="K86:K87" si="41">AD86</f>
        <v>4</v>
      </c>
      <c r="L86" s="124">
        <f>AQ86</f>
        <v>3</v>
      </c>
      <c r="M86" s="159">
        <f>AM86</f>
        <v>1.65</v>
      </c>
      <c r="N86" s="161">
        <f>BC86</f>
        <v>80.723922000000002</v>
      </c>
      <c r="O86" s="119">
        <f>N86*1.05</f>
        <v>84.7601181</v>
      </c>
      <c r="P86" s="119">
        <f>1.05*(V86+V87+AA86+AA87+AJ86+AJ87+AJ92+AJ93+AV92+AV93+AV86+AV87)</f>
        <v>56.086550100000011</v>
      </c>
      <c r="Q86" s="119">
        <f>1.05*(BA86+BA87+AP86)</f>
        <v>28.673568</v>
      </c>
      <c r="R86" s="107">
        <f>$B$91</f>
        <v>3</v>
      </c>
      <c r="S86" s="93">
        <f>$C$91</f>
        <v>16</v>
      </c>
      <c r="T86" s="30">
        <f>0.5*(F86-G86*0.5-H86*0.5)+G86-0.085</f>
        <v>2.29</v>
      </c>
      <c r="U86" s="31">
        <f>T86*R86</f>
        <v>6.87</v>
      </c>
      <c r="V86" s="32">
        <f>IF(S86=6,0.222,IF(S86=8,0.395,IF(S86=10,0.617,IF(S86=12,0.888,IF(S86=16,1.578,IF(S86=20,2.47,IF(S86=25,3.85,"NO CONT.")))))))*U86</f>
        <v>10.840860000000001</v>
      </c>
      <c r="W86" s="107">
        <f>$B$90</f>
        <v>3</v>
      </c>
      <c r="X86" s="93">
        <f>$C$90</f>
        <v>16</v>
      </c>
      <c r="Y86" s="34">
        <f t="shared" ref="Y86:Y87" si="42">T86</f>
        <v>2.29</v>
      </c>
      <c r="Z86" s="31">
        <f t="shared" ref="Z86:Z87" si="43">(Y86)*W86</f>
        <v>6.87</v>
      </c>
      <c r="AA86" s="32">
        <f>IF(X86=6,0.222,IF(X86=8,0.395,IF(X86=10,0.617,IF(X86=12,0.888,IF(X86=16,1.578,IF(X86=20,2.47,IF(X86=25,3.85,"NO CONT.")))))))*Z86</f>
        <v>10.840860000000001</v>
      </c>
      <c r="AB86" s="145">
        <f>G86-0.03</f>
        <v>1.47</v>
      </c>
      <c r="AC86" s="147"/>
      <c r="AD86" s="110">
        <f>ROUNDUP((Y86-AB86-0.28)/$B$93,0)+1</f>
        <v>4</v>
      </c>
      <c r="AE86" s="111">
        <f>$B$92</f>
        <v>10</v>
      </c>
      <c r="AF86" s="93">
        <f>$B$84-$B$86*2</f>
        <v>0.30000000000000004</v>
      </c>
      <c r="AG86" s="94">
        <f>$B$85-$B$87*2</f>
        <v>0.1</v>
      </c>
      <c r="AH86" s="92">
        <f>$B$93</f>
        <v>0.2</v>
      </c>
      <c r="AI86" s="31">
        <f>(AF86*2+AG86*2+0.14)*AD86</f>
        <v>3.7600000000000002</v>
      </c>
      <c r="AJ86" s="32">
        <f>IF(AE86=6,0.222,IF(AE86=8,0.395,IF(AE86=10,0.617,IF(AE86=12,0.888,IF(AE86=16,1.578,IF(AE86=20,2.47,IF(AE86=25,3.85,"NO CONT.")))))))*AI86</f>
        <v>2.3199200000000002</v>
      </c>
      <c r="AK86" s="139">
        <v>3</v>
      </c>
      <c r="AL86" s="141">
        <v>12</v>
      </c>
      <c r="AM86" s="143">
        <f>F86-G86/2-H86/2-0.1</f>
        <v>1.65</v>
      </c>
      <c r="AN86" s="74"/>
      <c r="AO86" s="145">
        <f>(AM86)*AK86</f>
        <v>4.9499999999999993</v>
      </c>
      <c r="AP86" s="147">
        <f>IF(AL86=6,0.222,IF(AL86=8,0.395,IF(AL86=10,0.617,IF(AL86=12,0.888,IF(AL86=16,1.578,IF(AL86=20,2.47,IF(AL86=25,3.85,"NO CONT.")))))))*AO86</f>
        <v>4.3955999999999991</v>
      </c>
      <c r="AQ86" s="110">
        <f>ROUNDUP((Y86-AB86-0.28)/$B$93,0)</f>
        <v>3</v>
      </c>
      <c r="AR86" s="111">
        <f>$B$92</f>
        <v>10</v>
      </c>
      <c r="AS86" s="93">
        <f>$B$84-$B$86*2</f>
        <v>0.30000000000000004</v>
      </c>
      <c r="AT86" s="94">
        <f>$B$88-$B$87*2</f>
        <v>0.24999999999999997</v>
      </c>
      <c r="AU86" s="31">
        <f t="shared" ref="AU86:AU87" si="44">(AS86*2+AT86*2+0.14)*AQ86</f>
        <v>3.7200000000000006</v>
      </c>
      <c r="AV86" s="32">
        <f>IF(AR86=6,0.222,IF(AR86=8,0.395,IF(AR86=10,0.617,IF(AR86=12,0.888,IF(AR86=16,1.578,IF(AR86=20,2.47,IF(AR86=25,3.85,"NO CONT.")))))))*AU86</f>
        <v>2.2952400000000002</v>
      </c>
      <c r="AW86" s="110">
        <f>B90</f>
        <v>3</v>
      </c>
      <c r="AX86" s="111">
        <f>$C$91</f>
        <v>16</v>
      </c>
      <c r="AY86">
        <v>2.42</v>
      </c>
      <c r="AZ86" s="77">
        <f>AY86*AW86</f>
        <v>7.26</v>
      </c>
      <c r="BA86" s="32">
        <f>IF(AX86=6,0.222,IF(AX86=8,0.395,IF(AX86=10,0.617,IF(AX86=12,0.888,IF(AX86=16,1.578,IF(AX86=20,2.47,IF(AX86=25,3.85,"NO CONT.")))))))*AZ86</f>
        <v>11.45628</v>
      </c>
      <c r="BB86" s="45">
        <f>BA86+AJ92+AJ86+AA86+V86+AV92+AV86</f>
        <v>40.443280000000001</v>
      </c>
      <c r="BC86" s="149">
        <f>BB86+BB87+AP86</f>
        <v>80.723922000000002</v>
      </c>
    </row>
    <row r="87" spans="1:58" ht="15" customHeight="1" x14ac:dyDescent="0.3">
      <c r="A87" s="3" t="s">
        <v>44</v>
      </c>
      <c r="B87" s="57">
        <v>0.05</v>
      </c>
      <c r="C87" s="5" t="s">
        <v>11</v>
      </c>
      <c r="D87" s="3"/>
      <c r="E87" s="56"/>
      <c r="F87" s="154"/>
      <c r="G87" s="156"/>
      <c r="H87" s="158"/>
      <c r="I87" s="96">
        <f t="shared" si="39"/>
        <v>1.6665000000000001</v>
      </c>
      <c r="J87" s="97">
        <f t="shared" si="40"/>
        <v>0.77</v>
      </c>
      <c r="K87" s="125">
        <f t="shared" si="41"/>
        <v>5</v>
      </c>
      <c r="L87" s="91">
        <f>AQ87</f>
        <v>4</v>
      </c>
      <c r="M87" s="160"/>
      <c r="N87" s="162"/>
      <c r="R87" s="108">
        <f>$B$91</f>
        <v>3</v>
      </c>
      <c r="S87" s="109">
        <f>$C$91</f>
        <v>16</v>
      </c>
      <c r="T87" s="36">
        <f>0.5*(F86-G86*0.5-H86*0.5)+H86-0.0085</f>
        <v>1.6665000000000001</v>
      </c>
      <c r="U87" s="37">
        <f t="shared" ref="U87" si="45">T87*R87</f>
        <v>4.9995000000000003</v>
      </c>
      <c r="V87" s="38">
        <f>IF(S87=6,0.222,IF(S87=8,0.395,IF(S87=10,0.617,IF(S87=12,0.888,IF(S87=16,1.578,IF(S87=20,2.47,IF(S87=25,3.85,"NO CONT.")))))))*U87</f>
        <v>7.8892110000000004</v>
      </c>
      <c r="W87" s="108">
        <f>$B$90</f>
        <v>3</v>
      </c>
      <c r="X87" s="109">
        <f>$C$90</f>
        <v>16</v>
      </c>
      <c r="Y87" s="40">
        <f t="shared" si="42"/>
        <v>1.6665000000000001</v>
      </c>
      <c r="Z87" s="37">
        <f t="shared" si="43"/>
        <v>4.9995000000000003</v>
      </c>
      <c r="AA87" s="38">
        <f>IF(X87=6,0.222,IF(X87=8,0.395,IF(X87=10,0.617,IF(X87=12,0.888,IF(X87=16,1.578,IF(X87=20,2.47,IF(X87=25,3.85,"NO CONT.")))))))*Z87</f>
        <v>7.8892110000000004</v>
      </c>
      <c r="AB87" s="163">
        <f>H86-0.03</f>
        <v>0.77</v>
      </c>
      <c r="AC87" s="164"/>
      <c r="AD87" s="89">
        <f>ROUNDUP((Y87-AB87-0.28)/$B$93,0)+1</f>
        <v>5</v>
      </c>
      <c r="AE87" s="90">
        <f>$B$92</f>
        <v>10</v>
      </c>
      <c r="AF87" s="109">
        <f>$B$84-$B$86*2</f>
        <v>0.30000000000000004</v>
      </c>
      <c r="AG87" s="112">
        <f>$B$85-$B$87*2</f>
        <v>0.1</v>
      </c>
      <c r="AH87" s="123">
        <f>$B$93</f>
        <v>0.2</v>
      </c>
      <c r="AI87" s="37">
        <f t="shared" ref="AI87" si="46">(AF87*2+AG87*2+0.14)*AD87</f>
        <v>4.7</v>
      </c>
      <c r="AJ87" s="38">
        <f>IF(AE87=6,0.222,IF(AE87=8,0.395,IF(AE87=10,0.617,IF(AE87=12,0.888,IF(AE87=16,1.578,IF(AE87=20,2.47,IF(AE87=25,3.85,"NO CONT.")))))))*AI87</f>
        <v>2.8999000000000001</v>
      </c>
      <c r="AK87" s="140"/>
      <c r="AL87" s="142"/>
      <c r="AM87" s="144"/>
      <c r="AN87" s="75"/>
      <c r="AO87" s="146"/>
      <c r="AP87" s="148"/>
      <c r="AQ87" s="89">
        <f>ROUNDUP((Y87-AB87-0.28)/$B$93,0)</f>
        <v>4</v>
      </c>
      <c r="AR87" s="90">
        <f>$B$92</f>
        <v>10</v>
      </c>
      <c r="AS87" s="109">
        <f>$B$84-$B$86*2</f>
        <v>0.30000000000000004</v>
      </c>
      <c r="AT87" s="112">
        <f>$B$88-$B$87*2</f>
        <v>0.24999999999999997</v>
      </c>
      <c r="AU87" s="37">
        <f t="shared" si="44"/>
        <v>4.9600000000000009</v>
      </c>
      <c r="AV87" s="38">
        <f>IF(AR87=6,0.222,IF(AR87=8,0.395,IF(AR87=10,0.617,IF(AR87=12,0.888,IF(AR87=16,1.578,IF(AR87=20,2.47,IF(AR87=25,3.85,"NO CONT.")))))))*AU87</f>
        <v>3.0603200000000004</v>
      </c>
      <c r="AW87" s="118">
        <f>B91</f>
        <v>3</v>
      </c>
      <c r="AX87" s="99">
        <f>$C$90</f>
        <v>16</v>
      </c>
      <c r="AY87">
        <v>2.42</v>
      </c>
      <c r="AZ87" s="80">
        <f t="shared" ref="AZ87" si="47">AY87*AW87</f>
        <v>7.26</v>
      </c>
      <c r="BA87" s="41">
        <f>IF(AX87=6,0.222,IF(AX87=8,0.395,IF(AX87=10,0.617,IF(AX87=12,0.888,IF(AX87=16,1.578,IF(AX87=20,2.47,IF(AX87=25,3.85,"NO CONT.")))))))*AZ87</f>
        <v>11.45628</v>
      </c>
      <c r="BB87" s="47">
        <f>BA87+AJ93+AJ87+AA87+V87+AV93+AV87</f>
        <v>35.885041999999999</v>
      </c>
      <c r="BC87" s="150"/>
    </row>
    <row r="88" spans="1:58" ht="15" customHeight="1" x14ac:dyDescent="0.3">
      <c r="A88" s="3" t="s">
        <v>80</v>
      </c>
      <c r="B88" s="57">
        <v>0.35</v>
      </c>
      <c r="C88" s="5" t="s">
        <v>11</v>
      </c>
      <c r="D88" s="3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 s="133"/>
      <c r="AC88" s="133"/>
      <c r="AD88"/>
      <c r="AE88"/>
      <c r="AF88"/>
      <c r="AG88"/>
      <c r="AH88"/>
      <c r="AI88"/>
      <c r="AJ88"/>
      <c r="AK88" s="133"/>
      <c r="AL88" s="133"/>
      <c r="AM88" s="133"/>
      <c r="AN88" s="133"/>
      <c r="AO88" s="133"/>
      <c r="AP88" s="133"/>
      <c r="AQ88"/>
      <c r="AR88"/>
      <c r="AS88"/>
      <c r="AT88"/>
      <c r="AU88"/>
      <c r="AV88"/>
      <c r="AW88"/>
      <c r="AX88"/>
      <c r="AY88"/>
      <c r="AZ88"/>
      <c r="BA88"/>
      <c r="BB88"/>
      <c r="BC88" s="133"/>
      <c r="BD88"/>
      <c r="BE88"/>
      <c r="BF88"/>
    </row>
    <row r="89" spans="1:58" ht="15" customHeight="1" x14ac:dyDescent="0.3">
      <c r="A89" s="18" t="s">
        <v>46</v>
      </c>
      <c r="C89" s="5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 s="133"/>
      <c r="AC89" s="133"/>
      <c r="AD89"/>
      <c r="AE89"/>
      <c r="AF89"/>
      <c r="AG89"/>
      <c r="AH89"/>
      <c r="AI89"/>
      <c r="AJ89"/>
      <c r="AK89" s="133"/>
      <c r="AL89" s="133"/>
      <c r="AM89" s="133"/>
      <c r="AN89" s="133"/>
      <c r="AO89" s="133"/>
      <c r="AP89" s="133"/>
      <c r="AQ89"/>
      <c r="AR89"/>
      <c r="AS89"/>
      <c r="AT89"/>
      <c r="AU89"/>
      <c r="AV89"/>
      <c r="AW89"/>
      <c r="AX89"/>
      <c r="AY89"/>
      <c r="AZ89"/>
      <c r="BA89"/>
      <c r="BB89"/>
      <c r="BC89" s="133"/>
      <c r="BD89"/>
      <c r="BE89"/>
      <c r="BF89"/>
    </row>
    <row r="90" spans="1:58" ht="15" customHeight="1" x14ac:dyDescent="0.3">
      <c r="A90" s="3" t="s">
        <v>48</v>
      </c>
      <c r="B90" s="102">
        <v>3</v>
      </c>
      <c r="C90" s="103">
        <v>16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 s="133"/>
      <c r="AC90" s="133"/>
      <c r="AD90" s="136" t="s">
        <v>18</v>
      </c>
      <c r="AE90" s="137"/>
      <c r="AF90" s="137"/>
      <c r="AG90" s="137"/>
      <c r="AH90" s="137"/>
      <c r="AI90" s="137"/>
      <c r="AJ90" s="138"/>
      <c r="AQ90" s="136" t="s">
        <v>81</v>
      </c>
      <c r="AR90" s="137"/>
      <c r="AS90" s="137"/>
      <c r="AT90" s="137"/>
      <c r="AU90" s="137"/>
      <c r="AV90" s="138"/>
      <c r="AW90"/>
      <c r="AX90"/>
      <c r="AY90"/>
      <c r="AZ90"/>
      <c r="BA90"/>
      <c r="BB90"/>
      <c r="BC90" s="133"/>
      <c r="BD90"/>
      <c r="BE90"/>
      <c r="BF90"/>
    </row>
    <row r="91" spans="1:58" ht="15" customHeight="1" x14ac:dyDescent="0.3">
      <c r="A91" s="3" t="s">
        <v>52</v>
      </c>
      <c r="B91" s="102">
        <f>B90</f>
        <v>3</v>
      </c>
      <c r="C91" s="103">
        <f>C90</f>
        <v>16</v>
      </c>
      <c r="D91" s="53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 s="133"/>
      <c r="AC91" s="133"/>
      <c r="AD91" s="89" t="s">
        <v>35</v>
      </c>
      <c r="AE91" s="90" t="s">
        <v>36</v>
      </c>
      <c r="AF91" s="90" t="s">
        <v>38</v>
      </c>
      <c r="AG91" s="91" t="s">
        <v>39</v>
      </c>
      <c r="AH91" s="28"/>
      <c r="AI91" s="28" t="s">
        <v>37</v>
      </c>
      <c r="AJ91" s="27" t="s">
        <v>31</v>
      </c>
      <c r="AQ91" s="89" t="s">
        <v>35</v>
      </c>
      <c r="AR91" s="90" t="s">
        <v>36</v>
      </c>
      <c r="AS91" s="90" t="s">
        <v>38</v>
      </c>
      <c r="AT91" s="91" t="s">
        <v>39</v>
      </c>
      <c r="AU91" s="28" t="s">
        <v>37</v>
      </c>
      <c r="AV91" s="27" t="s">
        <v>31</v>
      </c>
      <c r="AW91"/>
      <c r="AX91"/>
      <c r="AY91"/>
      <c r="AZ91"/>
      <c r="BA91"/>
      <c r="BB91"/>
      <c r="BC91" s="133"/>
      <c r="BD91"/>
      <c r="BE91"/>
      <c r="BF91"/>
    </row>
    <row r="92" spans="1:58" ht="15" customHeight="1" x14ac:dyDescent="0.3">
      <c r="A92" s="3" t="s">
        <v>56</v>
      </c>
      <c r="B92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 s="134" t="s">
        <v>47</v>
      </c>
      <c r="U92" s="134"/>
      <c r="V92" s="134"/>
      <c r="W92" s="134"/>
      <c r="X92" s="134"/>
      <c r="Y92" s="134"/>
      <c r="Z92"/>
      <c r="AA92"/>
      <c r="AB92" s="133"/>
      <c r="AC92" s="133"/>
      <c r="AD92" s="110">
        <v>2</v>
      </c>
      <c r="AE92" s="111">
        <f>$B$92</f>
        <v>10</v>
      </c>
      <c r="AF92" s="93">
        <f>$B$84-$B$86*2</f>
        <v>0.30000000000000004</v>
      </c>
      <c r="AG92" s="94">
        <f>$B$95-$B$97*2</f>
        <v>0.1</v>
      </c>
      <c r="AH92" s="33"/>
      <c r="AI92" s="31">
        <f>(AF92*2+AG92*2+0.14)*AD92</f>
        <v>1.8800000000000001</v>
      </c>
      <c r="AJ92" s="32">
        <f>IF(AE92=6,0.222,IF(AE92=8,0.395,IF(AE92=10,0.617,IF(AE92=12,0.888,IF(AE92=16,1.578,IF(AE92=20,2.47,IF(AE92=25,3.85,"NO CONT.")))))))*AI92</f>
        <v>1.1599600000000001</v>
      </c>
      <c r="AQ92" s="110">
        <v>2</v>
      </c>
      <c r="AR92" s="111">
        <f>$B$92</f>
        <v>10</v>
      </c>
      <c r="AS92" s="93">
        <f>$B$84-$B$86*2</f>
        <v>0.30000000000000004</v>
      </c>
      <c r="AT92" s="94">
        <f>$B$88-$B$87*2</f>
        <v>0.24999999999999997</v>
      </c>
      <c r="AU92" s="31">
        <f>(AS92*2+AT92*2+0.14)*AQ92</f>
        <v>2.4800000000000004</v>
      </c>
      <c r="AV92" s="32">
        <f>IF(AR92=6,0.222,IF(AR92=8,0.395,IF(AR92=10,0.617,IF(AR92=12,0.888,IF(AR92=16,1.578,IF(AR92=20,2.47,IF(AR92=25,3.85,"NO CONT.")))))))*AU92</f>
        <v>1.5301600000000002</v>
      </c>
      <c r="AW92"/>
      <c r="AX92"/>
      <c r="AY92"/>
      <c r="AZ92"/>
      <c r="BA92"/>
      <c r="BB92"/>
      <c r="BC92" s="133"/>
      <c r="BD92"/>
      <c r="BE92"/>
      <c r="BF92"/>
    </row>
    <row r="93" spans="1:58" ht="15" customHeight="1" x14ac:dyDescent="0.3">
      <c r="A93" s="8" t="s">
        <v>58</v>
      </c>
      <c r="B93">
        <v>0.2</v>
      </c>
      <c r="C93" s="5" t="s">
        <v>11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 s="135" t="s">
        <v>69</v>
      </c>
      <c r="U93" s="135"/>
      <c r="V93" s="135"/>
      <c r="W93" s="135" t="s">
        <v>51</v>
      </c>
      <c r="X93" s="135"/>
      <c r="Y93" s="135"/>
      <c r="Z93"/>
      <c r="AA93"/>
      <c r="AB93" s="133"/>
      <c r="AC93" s="133"/>
      <c r="AD93" s="89">
        <v>2</v>
      </c>
      <c r="AE93" s="90">
        <f>$B$92</f>
        <v>10</v>
      </c>
      <c r="AF93" s="109">
        <f>$B$84-$B$86*2</f>
        <v>0.30000000000000004</v>
      </c>
      <c r="AG93" s="112">
        <f>$B$95-$B$97*2</f>
        <v>0.1</v>
      </c>
      <c r="AH93" s="39"/>
      <c r="AI93" s="37">
        <f t="shared" ref="AI93" si="48">(AF93*2+AG93*2+0.14)*AD93</f>
        <v>1.8800000000000001</v>
      </c>
      <c r="AJ93" s="38">
        <f>IF(AE93=6,0.222,IF(AE93=8,0.395,IF(AE93=10,0.617,IF(AE93=12,0.888,IF(AE93=16,1.578,IF(AE93=20,2.47,IF(AE93=25,3.85,"NO CONT.")))))))*AI93</f>
        <v>1.1599600000000001</v>
      </c>
      <c r="AQ93" s="89">
        <v>2</v>
      </c>
      <c r="AR93" s="90">
        <f>$B$92</f>
        <v>10</v>
      </c>
      <c r="AS93" s="109">
        <f>$B$84-$B$86*2</f>
        <v>0.30000000000000004</v>
      </c>
      <c r="AT93" s="112">
        <f>$B$88-$B$87*2</f>
        <v>0.24999999999999997</v>
      </c>
      <c r="AU93" s="37">
        <f t="shared" ref="AU93" si="49">(AS93*2+AT93*2+0.14)*AQ93</f>
        <v>2.4800000000000004</v>
      </c>
      <c r="AV93" s="38">
        <f>IF(AR93=6,0.222,IF(AR93=8,0.395,IF(AR93=10,0.617,IF(AR93=12,0.888,IF(AR93=16,1.578,IF(AR93=20,2.47,IF(AR93=25,3.85,"NO CONT.")))))))*AU93</f>
        <v>1.5301600000000002</v>
      </c>
      <c r="AW93"/>
      <c r="AX93"/>
      <c r="AY93"/>
      <c r="AZ93"/>
      <c r="BA93"/>
      <c r="BB93"/>
      <c r="BC93" s="133"/>
      <c r="BD93"/>
      <c r="BE93"/>
      <c r="BF93"/>
    </row>
    <row r="94" spans="1:58" ht="15" customHeight="1" x14ac:dyDescent="0.3">
      <c r="A94" s="10" t="s">
        <v>59</v>
      </c>
      <c r="B94" s="7"/>
      <c r="C94" s="8"/>
      <c r="D94" s="9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 s="127" t="s">
        <v>53</v>
      </c>
      <c r="U94" s="127" t="s">
        <v>54</v>
      </c>
      <c r="V94" s="127" t="s">
        <v>55</v>
      </c>
      <c r="W94" s="127" t="s">
        <v>53</v>
      </c>
      <c r="X94" s="127" t="s">
        <v>54</v>
      </c>
      <c r="Y94" s="127" t="s">
        <v>55</v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 s="133"/>
      <c r="BD94"/>
      <c r="BE94"/>
      <c r="BF94"/>
    </row>
    <row r="95" spans="1:58" ht="15" customHeight="1" x14ac:dyDescent="0.3">
      <c r="A95" s="3" t="s">
        <v>60</v>
      </c>
      <c r="B95" s="105">
        <v>0.2</v>
      </c>
      <c r="C95" s="52" t="s">
        <v>11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 s="126" t="s">
        <v>84</v>
      </c>
      <c r="T95" s="122">
        <f>AF92+($B$87*2)</f>
        <v>0.4</v>
      </c>
      <c r="U95" s="122">
        <f>AG92+($B$86*2)</f>
        <v>0.25</v>
      </c>
      <c r="V95" s="122">
        <f>J86+$B$99</f>
        <v>1.52</v>
      </c>
      <c r="W95" s="122">
        <f>AS92+($B$87*2)</f>
        <v>0.4</v>
      </c>
      <c r="X95" s="122">
        <f>AT92+($B$86*2)</f>
        <v>0.39999999999999997</v>
      </c>
      <c r="Y95" s="122">
        <f>$M$86+$B$99</f>
        <v>1.7</v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s="133"/>
      <c r="BD95"/>
      <c r="BE95"/>
      <c r="BF95"/>
    </row>
    <row r="96" spans="1:58" ht="15" customHeight="1" x14ac:dyDescent="0.3">
      <c r="A96" s="3"/>
      <c r="B96" s="54" t="s">
        <v>61</v>
      </c>
      <c r="C96" s="8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 s="126" t="s">
        <v>85</v>
      </c>
      <c r="T96" s="122">
        <f>AF93+($B$87*2)</f>
        <v>0.4</v>
      </c>
      <c r="U96" s="122">
        <f>AG93+($B$86*2)</f>
        <v>0.25</v>
      </c>
      <c r="V96" s="122">
        <f>J87+$B$99</f>
        <v>0.82000000000000006</v>
      </c>
      <c r="W96" s="122">
        <f>AS93+($B$87*2)</f>
        <v>0.4</v>
      </c>
      <c r="X96" s="122">
        <f>AT93+($B$86*2)</f>
        <v>0.39999999999999997</v>
      </c>
      <c r="Y96" s="122">
        <f>$M$86+$B$99</f>
        <v>1.7</v>
      </c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s="133"/>
      <c r="BD96"/>
      <c r="BE96"/>
      <c r="BF96"/>
    </row>
    <row r="97" spans="1:58" ht="15" customHeight="1" x14ac:dyDescent="0.3">
      <c r="A97" s="3" t="s">
        <v>62</v>
      </c>
      <c r="B97">
        <v>0.05</v>
      </c>
      <c r="C97" s="5" t="s">
        <v>11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s="133"/>
      <c r="BD97"/>
      <c r="BE97"/>
      <c r="BF97"/>
    </row>
    <row r="98" spans="1:58" ht="15" customHeight="1" x14ac:dyDescent="0.3">
      <c r="C98" s="17"/>
      <c r="K98" s="64" t="s">
        <v>63</v>
      </c>
      <c r="R98" s="23"/>
      <c r="S98" s="23"/>
      <c r="T98" s="23"/>
      <c r="U98" s="23"/>
      <c r="V98" s="23"/>
      <c r="W98" s="23"/>
      <c r="X98" s="23"/>
      <c r="Y98" s="23"/>
      <c r="Z98" s="48"/>
      <c r="AA98" s="23"/>
      <c r="AB98" s="23"/>
      <c r="AC98" s="23"/>
      <c r="AW98" s="5"/>
      <c r="AX98" s="5"/>
      <c r="AY98" s="5"/>
      <c r="AZ98" s="5"/>
      <c r="BA98" s="5"/>
      <c r="BB98" s="5"/>
      <c r="BC98" s="5"/>
    </row>
    <row r="99" spans="1:58" x14ac:dyDescent="0.3">
      <c r="A99" s="3" t="s">
        <v>93</v>
      </c>
      <c r="B99" s="4">
        <v>0.05</v>
      </c>
    </row>
    <row r="100" spans="1:58" x14ac:dyDescent="0.3">
      <c r="G100" s="1" t="s">
        <v>91</v>
      </c>
    </row>
    <row r="102" spans="1:58" x14ac:dyDescent="0.3"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</row>
    <row r="103" spans="1:58" x14ac:dyDescent="0.3"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</row>
    <row r="104" spans="1:58" x14ac:dyDescent="0.3">
      <c r="A104" s="18"/>
      <c r="D104" s="23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</row>
    <row r="105" spans="1:58" x14ac:dyDescent="0.3"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</row>
    <row r="106" spans="1:58" x14ac:dyDescent="0.3"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</row>
    <row r="107" spans="1:58" x14ac:dyDescent="0.3"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</row>
    <row r="108" spans="1:58" x14ac:dyDescent="0.3"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</row>
    <row r="109" spans="1:58" x14ac:dyDescent="0.3"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</row>
    <row r="110" spans="1:58" x14ac:dyDescent="0.3"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</row>
    <row r="111" spans="1:58" x14ac:dyDescent="0.3"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</row>
    <row r="112" spans="1:58" x14ac:dyDescent="0.3"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</row>
  </sheetData>
  <mergeCells count="146">
    <mergeCell ref="BC94:BC95"/>
    <mergeCell ref="BC96:BC97"/>
    <mergeCell ref="T92:Y92"/>
    <mergeCell ref="AB92:AC92"/>
    <mergeCell ref="BC92:BC93"/>
    <mergeCell ref="T93:V93"/>
    <mergeCell ref="W93:Y93"/>
    <mergeCell ref="AB93:AC93"/>
    <mergeCell ref="AP88:AP89"/>
    <mergeCell ref="BC88:BC89"/>
    <mergeCell ref="AB89:AC89"/>
    <mergeCell ref="AB90:AC90"/>
    <mergeCell ref="AD90:AJ90"/>
    <mergeCell ref="AQ90:AV90"/>
    <mergeCell ref="BC90:BC91"/>
    <mergeCell ref="AB91:AC91"/>
    <mergeCell ref="AB88:AC88"/>
    <mergeCell ref="AK88:AK89"/>
    <mergeCell ref="AL88:AL89"/>
    <mergeCell ref="AM88:AM89"/>
    <mergeCell ref="AN88:AN89"/>
    <mergeCell ref="AO88:AO89"/>
    <mergeCell ref="AK86:AK87"/>
    <mergeCell ref="AL86:AL87"/>
    <mergeCell ref="AM86:AM87"/>
    <mergeCell ref="AO86:AO87"/>
    <mergeCell ref="AP86:AP87"/>
    <mergeCell ref="BC86:BC87"/>
    <mergeCell ref="AB85:AC85"/>
    <mergeCell ref="F86:F87"/>
    <mergeCell ref="G86:G87"/>
    <mergeCell ref="H86:H87"/>
    <mergeCell ref="M86:M87"/>
    <mergeCell ref="N86:N87"/>
    <mergeCell ref="AB86:AC86"/>
    <mergeCell ref="AB87:AC87"/>
    <mergeCell ref="R83:BA83"/>
    <mergeCell ref="I84:J84"/>
    <mergeCell ref="K84:L84"/>
    <mergeCell ref="R84:V84"/>
    <mergeCell ref="W84:AA84"/>
    <mergeCell ref="AD84:AJ84"/>
    <mergeCell ref="AK84:AP84"/>
    <mergeCell ref="AQ84:AV84"/>
    <mergeCell ref="AW84:BA84"/>
    <mergeCell ref="AB75:AC75"/>
    <mergeCell ref="BC75:BC76"/>
    <mergeCell ref="AB76:AC76"/>
    <mergeCell ref="AB77:AC77"/>
    <mergeCell ref="BC77:BC78"/>
    <mergeCell ref="AB78:AC78"/>
    <mergeCell ref="T71:V71"/>
    <mergeCell ref="W71:Y71"/>
    <mergeCell ref="AB71:AC71"/>
    <mergeCell ref="BC71:BC72"/>
    <mergeCell ref="AB72:AC72"/>
    <mergeCell ref="AB73:AC73"/>
    <mergeCell ref="BC73:BC74"/>
    <mergeCell ref="AB74:AC74"/>
    <mergeCell ref="BC67:BC68"/>
    <mergeCell ref="AB68:AC68"/>
    <mergeCell ref="AB69:AC69"/>
    <mergeCell ref="BC69:BC70"/>
    <mergeCell ref="T70:Y70"/>
    <mergeCell ref="AB70:AC70"/>
    <mergeCell ref="AB66:AC66"/>
    <mergeCell ref="F67:F68"/>
    <mergeCell ref="G67:G68"/>
    <mergeCell ref="H67:H68"/>
    <mergeCell ref="L67:L68"/>
    <mergeCell ref="AB67:AC67"/>
    <mergeCell ref="R64:BA64"/>
    <mergeCell ref="I65:J65"/>
    <mergeCell ref="R65:V65"/>
    <mergeCell ref="W65:AA65"/>
    <mergeCell ref="AD65:AJ65"/>
    <mergeCell ref="AK65:AP65"/>
    <mergeCell ref="AQ65:AV65"/>
    <mergeCell ref="AW65:BA65"/>
    <mergeCell ref="T52:V52"/>
    <mergeCell ref="W52:Y52"/>
    <mergeCell ref="BC52:BC53"/>
    <mergeCell ref="BC54:BC55"/>
    <mergeCell ref="BC56:BC57"/>
    <mergeCell ref="BC58:BC59"/>
    <mergeCell ref="F48:F49"/>
    <mergeCell ref="G48:G49"/>
    <mergeCell ref="H48:H49"/>
    <mergeCell ref="N48:N49"/>
    <mergeCell ref="BC48:BC49"/>
    <mergeCell ref="BC50:BC51"/>
    <mergeCell ref="T51:Y51"/>
    <mergeCell ref="BC37:BC38"/>
    <mergeCell ref="BC39:BC40"/>
    <mergeCell ref="R45:BA45"/>
    <mergeCell ref="J46:L46"/>
    <mergeCell ref="R46:V46"/>
    <mergeCell ref="W46:AC46"/>
    <mergeCell ref="AD46:AJ46"/>
    <mergeCell ref="AK46:AP46"/>
    <mergeCell ref="AQ46:AV46"/>
    <mergeCell ref="AW46:BA46"/>
    <mergeCell ref="BC31:BC32"/>
    <mergeCell ref="T32:Y32"/>
    <mergeCell ref="T33:V33"/>
    <mergeCell ref="W33:Y33"/>
    <mergeCell ref="BC33:BC34"/>
    <mergeCell ref="BC35:BC36"/>
    <mergeCell ref="AW27:BA27"/>
    <mergeCell ref="F29:F30"/>
    <mergeCell ref="G29:G30"/>
    <mergeCell ref="H29:H30"/>
    <mergeCell ref="N29:N30"/>
    <mergeCell ref="BC29:BC30"/>
    <mergeCell ref="BC16:BC17"/>
    <mergeCell ref="BC18:BC19"/>
    <mergeCell ref="BC20:BC21"/>
    <mergeCell ref="R26:BA26"/>
    <mergeCell ref="J27:L27"/>
    <mergeCell ref="R27:V27"/>
    <mergeCell ref="W27:AC27"/>
    <mergeCell ref="AD27:AJ27"/>
    <mergeCell ref="AK27:AP27"/>
    <mergeCell ref="AQ27:AV27"/>
    <mergeCell ref="BC10:BC11"/>
    <mergeCell ref="BC12:BC13"/>
    <mergeCell ref="T13:Y13"/>
    <mergeCell ref="T14:V14"/>
    <mergeCell ref="W14:Y14"/>
    <mergeCell ref="BC14:BC15"/>
    <mergeCell ref="AQ8:AV8"/>
    <mergeCell ref="AW8:BA8"/>
    <mergeCell ref="F10:F11"/>
    <mergeCell ref="G10:G11"/>
    <mergeCell ref="H10:H11"/>
    <mergeCell ref="N10:N11"/>
    <mergeCell ref="M1:N1"/>
    <mergeCell ref="O1:R1"/>
    <mergeCell ref="M2:N2"/>
    <mergeCell ref="K5:N5"/>
    <mergeCell ref="R7:BA7"/>
    <mergeCell ref="J8:L8"/>
    <mergeCell ref="R8:V8"/>
    <mergeCell ref="W8:AC8"/>
    <mergeCell ref="AD8:AJ8"/>
    <mergeCell ref="AK8:AP8"/>
  </mergeCells>
  <conditionalFormatting sqref="F10:F22">
    <cfRule type="cellIs" dxfId="13" priority="5" operator="greaterThan">
      <formula>8</formula>
    </cfRule>
    <cfRule type="cellIs" dxfId="12" priority="6" operator="lessThan">
      <formula>7</formula>
    </cfRule>
  </conditionalFormatting>
  <conditionalFormatting sqref="F29:F40 F67:F78 F86:F97">
    <cfRule type="cellIs" dxfId="11" priority="12" operator="greaterThan">
      <formula>7</formula>
    </cfRule>
    <cfRule type="cellIs" dxfId="10" priority="14" operator="lessThan">
      <formula>2</formula>
    </cfRule>
  </conditionalFormatting>
  <conditionalFormatting sqref="F48:F59">
    <cfRule type="cellIs" dxfId="9" priority="10" operator="greaterThan">
      <formula>4.6</formula>
    </cfRule>
    <cfRule type="cellIs" dxfId="8" priority="11" operator="lessThan">
      <formula>3.2</formula>
    </cfRule>
  </conditionalFormatting>
  <conditionalFormatting sqref="G10:H22 G29:H40 G48:H59 G67:H78 G86:H97">
    <cfRule type="cellIs" dxfId="7" priority="7" operator="lessThan">
      <formula>0.8</formula>
    </cfRule>
    <cfRule type="cellIs" dxfId="6" priority="8" operator="greaterThan">
      <formula>1.5</formula>
    </cfRule>
  </conditionalFormatting>
  <conditionalFormatting sqref="L10:L22 L29:L40">
    <cfRule type="cellIs" dxfId="5" priority="13" operator="lessThan">
      <formula>1.19</formula>
    </cfRule>
  </conditionalFormatting>
  <conditionalFormatting sqref="L48:L59">
    <cfRule type="cellIs" dxfId="4" priority="9" operator="lessThan">
      <formula>0.82</formula>
    </cfRule>
  </conditionalFormatting>
  <conditionalFormatting sqref="T86:T87">
    <cfRule type="cellIs" dxfId="3" priority="3" operator="lessThan">
      <formula>1.31</formula>
    </cfRule>
  </conditionalFormatting>
  <conditionalFormatting sqref="AA48:AA49">
    <cfRule type="cellIs" dxfId="2" priority="4" operator="lessThan">
      <formula>0.82</formula>
    </cfRule>
  </conditionalFormatting>
  <conditionalFormatting sqref="AB67:AC67">
    <cfRule type="cellIs" dxfId="1" priority="2" operator="greaterThan">
      <formula>$Y$67-0.41</formula>
    </cfRule>
  </conditionalFormatting>
  <conditionalFormatting sqref="AB68:AC68">
    <cfRule type="cellIs" dxfId="0" priority="1" operator="greaterThan">
      <formula>$Y$68-0.41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64180A-91B4-4F99-A508-0FCBEA8A1E38}">
          <x14:formula1>
            <xm:f>Full2!$A$1:$A$7</xm:f>
          </x14:formula1>
          <xm:sqref>B35 B92 C90 C33 B54 C52 B73 C71 B16 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78D6-3CAD-410B-863A-A799524B7992}">
  <dimension ref="A1:BF112"/>
  <sheetViews>
    <sheetView zoomScale="85" zoomScaleNormal="85" workbookViewId="0">
      <selection activeCell="E17" sqref="E17"/>
    </sheetView>
  </sheetViews>
  <sheetFormatPr baseColWidth="10" defaultColWidth="9.109375" defaultRowHeight="14.4" x14ac:dyDescent="0.3"/>
  <cols>
    <col min="1" max="1" width="15.6640625" style="1" customWidth="1"/>
    <col min="2" max="2" width="10.6640625" style="1" customWidth="1"/>
    <col min="3" max="3" width="5.6640625" style="1" customWidth="1"/>
    <col min="4" max="4" width="7.88671875" style="1" customWidth="1"/>
    <col min="5" max="5" width="10.6640625" style="1" customWidth="1"/>
    <col min="6" max="8" width="12.6640625" style="1" customWidth="1"/>
    <col min="9" max="10" width="8.6640625" style="1" customWidth="1"/>
    <col min="11" max="11" width="15.6640625" style="1" customWidth="1"/>
    <col min="12" max="14" width="8.6640625" style="1" customWidth="1"/>
    <col min="15" max="17" width="9.88671875" style="1" customWidth="1"/>
    <col min="18" max="18" width="5.6640625" style="1" customWidth="1"/>
    <col min="19" max="19" width="7.109375" style="1" bestFit="1" customWidth="1"/>
    <col min="20" max="22" width="6.6640625" style="1" customWidth="1"/>
    <col min="23" max="24" width="5.6640625" style="1" customWidth="1"/>
    <col min="25" max="29" width="6.6640625" style="1" customWidth="1"/>
    <col min="30" max="31" width="5.6640625" style="1" customWidth="1"/>
    <col min="32" max="33" width="6.6640625" style="1" customWidth="1"/>
    <col min="34" max="34" width="9.88671875" style="1" customWidth="1"/>
    <col min="35" max="36" width="6.6640625" style="1" customWidth="1"/>
    <col min="37" max="38" width="5.6640625" style="1" customWidth="1"/>
    <col min="39" max="42" width="6.6640625" style="1" customWidth="1"/>
    <col min="43" max="44" width="5.6640625" style="1" customWidth="1"/>
    <col min="45" max="48" width="6.6640625" style="1" customWidth="1"/>
    <col min="49" max="50" width="5.6640625" style="1" customWidth="1"/>
    <col min="51" max="55" width="6.6640625" style="1" customWidth="1"/>
    <col min="56" max="58" width="9.109375" style="1"/>
  </cols>
  <sheetData>
    <row r="1" spans="1:58" x14ac:dyDescent="0.3">
      <c r="M1" s="174" t="s">
        <v>0</v>
      </c>
      <c r="N1" s="174"/>
      <c r="O1" s="175" t="s">
        <v>1</v>
      </c>
      <c r="P1" s="175"/>
      <c r="Q1" s="175"/>
      <c r="R1" s="175"/>
    </row>
    <row r="2" spans="1:58" x14ac:dyDescent="0.3">
      <c r="M2" s="176" t="s">
        <v>2</v>
      </c>
      <c r="N2" s="176"/>
    </row>
    <row r="4" spans="1:58" ht="15.6" x14ac:dyDescent="0.3">
      <c r="A4" s="50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AB4" s="5"/>
    </row>
    <row r="5" spans="1:58" s="87" customFormat="1" x14ac:dyDescent="0.3">
      <c r="A5" s="85" t="s">
        <v>82</v>
      </c>
      <c r="B5" s="85"/>
      <c r="C5" s="85"/>
      <c r="D5" s="85"/>
      <c r="E5" s="85"/>
      <c r="F5" s="85" t="s">
        <v>4</v>
      </c>
      <c r="G5" s="85" t="s">
        <v>5</v>
      </c>
      <c r="H5" s="85"/>
      <c r="I5" s="85"/>
      <c r="J5" s="85"/>
      <c r="K5" s="177" t="s">
        <v>6</v>
      </c>
      <c r="L5" s="178"/>
      <c r="M5" s="178"/>
      <c r="N5" s="179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6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</row>
    <row r="6" spans="1:58" ht="15" customHeight="1" x14ac:dyDescent="0.3">
      <c r="A6" s="2" t="s">
        <v>7</v>
      </c>
      <c r="AB6" s="20"/>
    </row>
    <row r="7" spans="1:58" ht="15" customHeight="1" x14ac:dyDescent="0.3">
      <c r="A7" s="18" t="s">
        <v>8</v>
      </c>
      <c r="E7" s="18"/>
      <c r="H7" s="23"/>
      <c r="R7" s="165" t="s">
        <v>9</v>
      </c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24"/>
      <c r="BC7" s="5"/>
    </row>
    <row r="8" spans="1:58" ht="15" customHeight="1" x14ac:dyDescent="0.3">
      <c r="A8" s="3" t="s">
        <v>10</v>
      </c>
      <c r="B8" s="57">
        <v>0.45</v>
      </c>
      <c r="C8" s="5" t="s">
        <v>11</v>
      </c>
      <c r="E8" s="10"/>
      <c r="G8" s="6"/>
      <c r="I8" s="68" t="s">
        <v>12</v>
      </c>
      <c r="J8" s="169" t="s">
        <v>13</v>
      </c>
      <c r="K8" s="170"/>
      <c r="L8" s="171"/>
      <c r="M8" s="67" t="s">
        <v>14</v>
      </c>
      <c r="N8" s="21" t="s">
        <v>15</v>
      </c>
      <c r="R8" s="136" t="s">
        <v>12</v>
      </c>
      <c r="S8" s="137"/>
      <c r="T8" s="137"/>
      <c r="U8" s="137"/>
      <c r="V8" s="138"/>
      <c r="W8" s="136" t="s">
        <v>13</v>
      </c>
      <c r="X8" s="137"/>
      <c r="Y8" s="137"/>
      <c r="Z8" s="137"/>
      <c r="AA8" s="137"/>
      <c r="AB8" s="137"/>
      <c r="AC8" s="138"/>
      <c r="AD8" s="136" t="s">
        <v>16</v>
      </c>
      <c r="AE8" s="137"/>
      <c r="AF8" s="137"/>
      <c r="AG8" s="137"/>
      <c r="AH8" s="137"/>
      <c r="AI8" s="137"/>
      <c r="AJ8" s="138"/>
      <c r="AK8" s="136" t="s">
        <v>17</v>
      </c>
      <c r="AL8" s="137"/>
      <c r="AM8" s="137"/>
      <c r="AN8" s="137"/>
      <c r="AO8" s="137"/>
      <c r="AP8" s="138"/>
      <c r="AQ8" s="136" t="s">
        <v>18</v>
      </c>
      <c r="AR8" s="137"/>
      <c r="AS8" s="137"/>
      <c r="AT8" s="137"/>
      <c r="AU8" s="137"/>
      <c r="AV8" s="137"/>
      <c r="AW8" s="136" t="s">
        <v>19</v>
      </c>
      <c r="AX8" s="137"/>
      <c r="AY8" s="137"/>
      <c r="AZ8" s="137"/>
      <c r="BA8" s="138"/>
      <c r="BB8" s="25" t="s">
        <v>20</v>
      </c>
      <c r="BC8" s="5"/>
    </row>
    <row r="9" spans="1:58" ht="15" customHeight="1" x14ac:dyDescent="0.3">
      <c r="A9" s="3" t="s">
        <v>21</v>
      </c>
      <c r="B9" s="57">
        <f>B19+0.15</f>
        <v>0.4</v>
      </c>
      <c r="C9" s="5" t="s">
        <v>11</v>
      </c>
      <c r="E9" s="11" t="s">
        <v>22</v>
      </c>
      <c r="F9" s="100" t="s">
        <v>23</v>
      </c>
      <c r="G9" s="101" t="s">
        <v>24</v>
      </c>
      <c r="H9" s="101" t="s">
        <v>25</v>
      </c>
      <c r="I9" s="89" t="s">
        <v>26</v>
      </c>
      <c r="J9" s="89" t="s">
        <v>27</v>
      </c>
      <c r="K9" s="90" t="s">
        <v>28</v>
      </c>
      <c r="L9" s="91" t="s">
        <v>29</v>
      </c>
      <c r="M9" s="90" t="s">
        <v>30</v>
      </c>
      <c r="N9" s="121" t="s">
        <v>31</v>
      </c>
      <c r="O9" s="88" t="s">
        <v>32</v>
      </c>
      <c r="P9" s="88" t="s">
        <v>33</v>
      </c>
      <c r="Q9" s="88" t="s">
        <v>34</v>
      </c>
      <c r="R9" s="89" t="s">
        <v>35</v>
      </c>
      <c r="S9" s="90" t="s">
        <v>36</v>
      </c>
      <c r="T9" s="27" t="s">
        <v>26</v>
      </c>
      <c r="U9" s="28" t="s">
        <v>37</v>
      </c>
      <c r="V9" s="28" t="s">
        <v>31</v>
      </c>
      <c r="W9" s="89" t="s">
        <v>35</v>
      </c>
      <c r="X9" s="90" t="s">
        <v>36</v>
      </c>
      <c r="Y9" s="28" t="s">
        <v>27</v>
      </c>
      <c r="Z9" s="113" t="s">
        <v>28</v>
      </c>
      <c r="AA9" s="27" t="s">
        <v>29</v>
      </c>
      <c r="AB9" s="28" t="s">
        <v>37</v>
      </c>
      <c r="AC9" s="28" t="s">
        <v>31</v>
      </c>
      <c r="AD9" s="89" t="s">
        <v>35</v>
      </c>
      <c r="AE9" s="90" t="s">
        <v>36</v>
      </c>
      <c r="AF9" s="90" t="s">
        <v>38</v>
      </c>
      <c r="AG9" s="91" t="s">
        <v>39</v>
      </c>
      <c r="AH9" s="90" t="s">
        <v>40</v>
      </c>
      <c r="AI9" s="28" t="s">
        <v>37</v>
      </c>
      <c r="AJ9" s="28" t="s">
        <v>31</v>
      </c>
      <c r="AK9" s="89" t="s">
        <v>35</v>
      </c>
      <c r="AL9" s="90" t="s">
        <v>36</v>
      </c>
      <c r="AM9" s="90" t="s">
        <v>38</v>
      </c>
      <c r="AN9" s="91" t="s">
        <v>39</v>
      </c>
      <c r="AO9" s="28" t="s">
        <v>37</v>
      </c>
      <c r="AP9" s="28" t="s">
        <v>31</v>
      </c>
      <c r="AQ9" s="89" t="s">
        <v>35</v>
      </c>
      <c r="AR9" s="90" t="s">
        <v>36</v>
      </c>
      <c r="AS9" s="90" t="s">
        <v>38</v>
      </c>
      <c r="AT9" s="91" t="s">
        <v>39</v>
      </c>
      <c r="AU9" s="28" t="s">
        <v>37</v>
      </c>
      <c r="AV9" s="28" t="s">
        <v>31</v>
      </c>
      <c r="AW9" s="89" t="s">
        <v>35</v>
      </c>
      <c r="AX9" s="90" t="s">
        <v>36</v>
      </c>
      <c r="AY9" t="s">
        <v>41</v>
      </c>
      <c r="AZ9" s="28" t="s">
        <v>37</v>
      </c>
      <c r="BA9" s="27" t="s">
        <v>31</v>
      </c>
      <c r="BB9" s="29" t="s">
        <v>42</v>
      </c>
      <c r="BC9" s="5"/>
    </row>
    <row r="10" spans="1:58" ht="15" customHeight="1" x14ac:dyDescent="0.3">
      <c r="A10" s="3" t="s">
        <v>43</v>
      </c>
      <c r="B10" s="4">
        <v>7.4999999999999997E-2</v>
      </c>
      <c r="C10" s="5" t="s">
        <v>11</v>
      </c>
      <c r="D10" s="3"/>
      <c r="E10" s="55"/>
      <c r="F10" s="153">
        <v>7.38</v>
      </c>
      <c r="G10" s="155">
        <v>1.07</v>
      </c>
      <c r="H10" s="157">
        <v>1.07</v>
      </c>
      <c r="I10" s="92">
        <f>T10</f>
        <v>4.1399999999999997</v>
      </c>
      <c r="J10" s="92">
        <f>Y10</f>
        <v>1.19</v>
      </c>
      <c r="K10" s="114">
        <f>Z10</f>
        <v>0.21213203435596431</v>
      </c>
      <c r="L10" s="94">
        <f>AA10</f>
        <v>2.8</v>
      </c>
      <c r="M10" s="95">
        <f>AD10</f>
        <v>13</v>
      </c>
      <c r="N10" s="172">
        <f>BC10</f>
        <v>129.26598610128227</v>
      </c>
      <c r="O10" s="119">
        <f>N10*1.05</f>
        <v>135.72928540634638</v>
      </c>
      <c r="P10" s="120">
        <f>1.05*(V10+V11+AC10+AC11+AJ10+AJ11+AP10+AP11+AV10+AV11)</f>
        <v>111.67109740634641</v>
      </c>
      <c r="Q10" s="120">
        <f>1.05*(BA10+BA11)</f>
        <v>24.058188000000001</v>
      </c>
      <c r="R10" s="107">
        <f>$B$15</f>
        <v>3</v>
      </c>
      <c r="S10" s="93">
        <f>$C$15</f>
        <v>16</v>
      </c>
      <c r="T10" s="30">
        <f>(F10-G10*0.5-H10*0.5)*0.5+G10-0.085</f>
        <v>4.1399999999999997</v>
      </c>
      <c r="U10" s="31">
        <f>T10*R10</f>
        <v>12.419999999999998</v>
      </c>
      <c r="V10" s="32">
        <f>IF(S10=6,0.222,IF(S10=8,0.395,IF(S10=10,0.617,IF(S10=12,0.888,IF(S10=16,1.578,IF(S10=20,2.47,IF(S10=25,3.85,"NO CONT.")))))))*U10</f>
        <v>19.598759999999999</v>
      </c>
      <c r="W10" s="107">
        <f t="shared" ref="W10" si="0">$B$33</f>
        <v>3</v>
      </c>
      <c r="X10" s="93">
        <f>$C$14</f>
        <v>16</v>
      </c>
      <c r="Y10" s="34">
        <f>G10+0.15-0.03</f>
        <v>1.19</v>
      </c>
      <c r="Z10" s="114">
        <f>(AG10-AT10)*2/SQRT(2)</f>
        <v>0.21213203435596431</v>
      </c>
      <c r="AA10" s="30">
        <f t="shared" ref="AA10:AA11" si="1">T10-Y10-Z10*SQRT(2)/2</f>
        <v>2.8</v>
      </c>
      <c r="AB10" s="31">
        <f t="shared" ref="AB10:AB11" si="2">(Y10+Z10+AA10)*W10</f>
        <v>12.606396103067892</v>
      </c>
      <c r="AC10" s="32">
        <f>IF(X10=6,0.222,IF(X10=8,0.395,IF(X10=10,0.617,IF(X10=12,0.888,IF(X10=16,1.578,IF(X10=20,2.47,IF(X10=25,3.85,"NO CONT.")))))))*AB10</f>
        <v>19.892893050641135</v>
      </c>
      <c r="AD10" s="110">
        <f>ROUNDUP((AA10-0.28)/$B$17,0)</f>
        <v>13</v>
      </c>
      <c r="AE10" s="111">
        <f>$B$16</f>
        <v>10</v>
      </c>
      <c r="AF10" s="93">
        <f>$B$8-$B$10*2</f>
        <v>0.30000000000000004</v>
      </c>
      <c r="AG10" s="94">
        <f>$B$9-$B$11*2</f>
        <v>0.30000000000000004</v>
      </c>
      <c r="AH10" s="111">
        <f>$B$17*100</f>
        <v>20</v>
      </c>
      <c r="AI10" s="31">
        <f>(AF10*2+AG10*2+0.14)*AD10</f>
        <v>17.420000000000005</v>
      </c>
      <c r="AJ10" s="32">
        <f>IF(AE10=6,0.222,IF(AE10=8,0.395,IF(AE10=10,0.617,IF(AE10=12,0.888,IF(AE10=16,1.578,IF(AE10=20,2.47,IF(AE10=25,3.85,"NO CONT.")))))))*AI10</f>
        <v>10.748140000000003</v>
      </c>
      <c r="AK10" s="111">
        <v>2</v>
      </c>
      <c r="AL10" s="111">
        <f>$B$35</f>
        <v>10</v>
      </c>
      <c r="AM10" s="111">
        <f t="shared" ref="AM10" si="3">$B$27-$B$29*2</f>
        <v>0.30000000000000004</v>
      </c>
      <c r="AN10" s="111">
        <f>$B$9-$B$11*2</f>
        <v>0.30000000000000004</v>
      </c>
      <c r="AO10" s="31">
        <f>(AM10*2+AN10*2+0.14)*AK10</f>
        <v>2.6800000000000006</v>
      </c>
      <c r="AP10" s="32">
        <f>IF(AL10=6,0.222,IF(AL10=8,0.395,IF(AL10=10,0.617,IF(AL10=12,0.888,IF(AL10=16,1.578,IF(AL10=20,2.47,IF(AL10=25,3.85,"NO CONT.")))))))*AO10</f>
        <v>1.6535600000000004</v>
      </c>
      <c r="AQ10" s="110">
        <v>2</v>
      </c>
      <c r="AR10" s="111">
        <f>$B$16</f>
        <v>10</v>
      </c>
      <c r="AS10" s="93">
        <f>$B$8-$B$10*2</f>
        <v>0.30000000000000004</v>
      </c>
      <c r="AT10" s="94">
        <f>$B$19-$B$21*2</f>
        <v>0.15</v>
      </c>
      <c r="AU10" s="31">
        <f>(AS10*2+AT10*2+0.14)*AQ10</f>
        <v>2.08</v>
      </c>
      <c r="AV10" s="33">
        <f>IF(AR10=6,0.222,IF(AR10=8,0.395,IF(AR10=10,0.617,IF(AR10=12,0.888,IF(AR10=16,1.578,IF(AR10=20,2.47,IF(AR10=25,3.85,"NO CONT.")))))))*AU10</f>
        <v>1.2833600000000001</v>
      </c>
      <c r="AW10" s="110">
        <f>B14</f>
        <v>3</v>
      </c>
      <c r="AX10" s="111">
        <f>$C$15</f>
        <v>16</v>
      </c>
      <c r="AY10">
        <v>2.42</v>
      </c>
      <c r="AZ10" s="77">
        <f>AY10*AW10</f>
        <v>7.26</v>
      </c>
      <c r="BA10" s="32">
        <f>IF(AX10=6,0.222,IF(AX10=8,0.395,IF(AX10=10,0.617,IF(AX10=12,0.888,IF(AX10=16,1.578,IF(AX10=20,2.47,IF(AX10=25,3.85,"NO CONT.")))))))*AZ10</f>
        <v>11.45628</v>
      </c>
      <c r="BB10" s="35">
        <f>BA10+AV10+AP10+AJ10+AC10+V10</f>
        <v>64.632993050641133</v>
      </c>
      <c r="BC10" s="149">
        <f>BB10+BB11</f>
        <v>129.26598610128227</v>
      </c>
    </row>
    <row r="11" spans="1:58" ht="15" customHeight="1" x14ac:dyDescent="0.3">
      <c r="A11" s="3" t="s">
        <v>44</v>
      </c>
      <c r="B11" s="57">
        <v>0.05</v>
      </c>
      <c r="C11" s="5" t="s">
        <v>11</v>
      </c>
      <c r="D11" s="3"/>
      <c r="E11" s="56"/>
      <c r="F11" s="154"/>
      <c r="G11" s="156"/>
      <c r="H11" s="158"/>
      <c r="I11" s="96">
        <f t="shared" ref="I11" si="4">T11</f>
        <v>4.1399999999999997</v>
      </c>
      <c r="J11" s="96">
        <f t="shared" ref="J11:L11" si="5">Y11</f>
        <v>1.19</v>
      </c>
      <c r="K11" s="116">
        <f t="shared" si="5"/>
        <v>0.21213203435596431</v>
      </c>
      <c r="L11" s="97">
        <f t="shared" si="5"/>
        <v>2.8</v>
      </c>
      <c r="M11" s="98">
        <f t="shared" ref="M11" si="6">AD11</f>
        <v>13</v>
      </c>
      <c r="N11" s="173"/>
      <c r="P11" s="84"/>
      <c r="R11" s="108">
        <f>$B$15</f>
        <v>3</v>
      </c>
      <c r="S11" s="109">
        <f>$C$15</f>
        <v>16</v>
      </c>
      <c r="T11" s="36">
        <f>(F10-G10*0.5-H10*0.5)*0.5+H10-0.085</f>
        <v>4.1399999999999997</v>
      </c>
      <c r="U11" s="37">
        <f t="shared" ref="U11" si="7">T11*R11</f>
        <v>12.419999999999998</v>
      </c>
      <c r="V11" s="38">
        <f>IF(S11=6,0.222,IF(S11=8,0.395,IF(S11=10,0.617,IF(S11=12,0.888,IF(S11=16,1.578,IF(S11=20,2.47,IF(S11=25,3.85,"NO CONT.")))))))*U11</f>
        <v>19.598759999999999</v>
      </c>
      <c r="W11" s="108">
        <f>$B$14</f>
        <v>3</v>
      </c>
      <c r="X11" s="109">
        <f>$C$14</f>
        <v>16</v>
      </c>
      <c r="Y11" s="40">
        <f>H10+0.15-0.03</f>
        <v>1.19</v>
      </c>
      <c r="Z11" s="115">
        <f>(AG11-AT11)*2/SQRT(2)</f>
        <v>0.21213203435596431</v>
      </c>
      <c r="AA11" s="36">
        <f t="shared" si="1"/>
        <v>2.8</v>
      </c>
      <c r="AB11" s="37">
        <f t="shared" si="2"/>
        <v>12.606396103067892</v>
      </c>
      <c r="AC11" s="38">
        <f>IF(X11=6,0.222,IF(X11=8,0.395,IF(X11=10,0.617,IF(X11=12,0.888,IF(X11=16,1.578,IF(X11=20,2.47,IF(X11=25,3.85,"NO CONT.")))))))*AB11</f>
        <v>19.892893050641135</v>
      </c>
      <c r="AD11" s="89">
        <f>ROUNDUP((AA11-0.28)/$B$17,0)</f>
        <v>13</v>
      </c>
      <c r="AE11" s="90">
        <f>$B$16</f>
        <v>10</v>
      </c>
      <c r="AF11" s="109">
        <f>$B$8-$B$10*2</f>
        <v>0.30000000000000004</v>
      </c>
      <c r="AG11" s="112">
        <f>$B$9-$B$11*2</f>
        <v>0.30000000000000004</v>
      </c>
      <c r="AH11" s="90">
        <f>$B$17*100</f>
        <v>20</v>
      </c>
      <c r="AI11" s="37">
        <f>(AF11*2+AG11*2+0.14)*AD11</f>
        <v>17.420000000000005</v>
      </c>
      <c r="AJ11" s="38">
        <f>IF(AE11=6,0.222,IF(AE11=8,0.395,IF(AE11=10,0.617,IF(AE11=12,0.888,IF(AE11=16,1.578,IF(AE11=20,2.47,IF(AE11=25,3.85,"NO CONT.")))))))*AI11</f>
        <v>10.748140000000003</v>
      </c>
      <c r="AK11" s="90">
        <v>2</v>
      </c>
      <c r="AL11" s="90">
        <f>$B$16</f>
        <v>10</v>
      </c>
      <c r="AM11" s="90">
        <f>$B$8-$B$10*2</f>
        <v>0.30000000000000004</v>
      </c>
      <c r="AN11" s="90">
        <f>$B$9-$B$11*2</f>
        <v>0.30000000000000004</v>
      </c>
      <c r="AO11" s="37">
        <f t="shared" ref="AO11" si="8">(AM11*2+AN11*2+0.14)*AK11</f>
        <v>2.6800000000000006</v>
      </c>
      <c r="AP11" s="38">
        <f>IF(AL11=6,0.222,IF(AL11=8,0.395,IF(AL11=10,0.617,IF(AL11=12,0.888,IF(AL11=16,1.578,IF(AL11=20,2.47,IF(AL11=25,3.85,"NO CONT.")))))))*AO11</f>
        <v>1.6535600000000004</v>
      </c>
      <c r="AQ11" s="89">
        <v>2</v>
      </c>
      <c r="AR11" s="90">
        <f>$B$16</f>
        <v>10</v>
      </c>
      <c r="AS11" s="109">
        <f>$B$8-$B$10*2</f>
        <v>0.30000000000000004</v>
      </c>
      <c r="AT11" s="112">
        <f>$B$19-$B$21*2</f>
        <v>0.15</v>
      </c>
      <c r="AU11" s="37">
        <f t="shared" ref="AU11" si="9">(AS11*2+AT11*2+0.14)*AQ11</f>
        <v>2.08</v>
      </c>
      <c r="AV11" s="39">
        <f>IF(AR11=6,0.222,IF(AR11=8,0.395,IF(AR11=10,0.617,IF(AR11=12,0.888,IF(AR11=16,1.578,IF(AR11=20,2.47,IF(AR11=25,3.85,"NO CONT.")))))))*AU11</f>
        <v>1.2833600000000001</v>
      </c>
      <c r="AW11" s="118">
        <f>B14</f>
        <v>3</v>
      </c>
      <c r="AX11" s="99">
        <f>$C$14</f>
        <v>16</v>
      </c>
      <c r="AY11">
        <v>2.42</v>
      </c>
      <c r="AZ11" s="80">
        <f t="shared" ref="AZ11" si="10">AY11*AW11</f>
        <v>7.26</v>
      </c>
      <c r="BA11" s="41">
        <f>IF(AX11=6,0.222,IF(AX11=8,0.395,IF(AX11=10,0.617,IF(AX11=12,0.888,IF(AX11=16,1.578,IF(AX11=20,2.47,IF(AX11=25,3.85,"NO CONT.")))))))*AZ11</f>
        <v>11.45628</v>
      </c>
      <c r="BB11" s="35">
        <f>BA11+AV11+AP11+AJ11+AC11+V11</f>
        <v>64.632993050641133</v>
      </c>
      <c r="BC11" s="150"/>
    </row>
    <row r="12" spans="1:58" ht="64.5" customHeight="1" x14ac:dyDescent="0.3">
      <c r="A12" s="3" t="s">
        <v>92</v>
      </c>
      <c r="B12" s="4">
        <v>0.05</v>
      </c>
      <c r="C12" s="5"/>
      <c r="D12" s="3"/>
      <c r="E12"/>
      <c r="F12"/>
      <c r="G12"/>
      <c r="H12"/>
      <c r="I12"/>
      <c r="J12"/>
      <c r="K12" s="117" t="s">
        <v>45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 s="133"/>
    </row>
    <row r="13" spans="1:58" ht="15" customHeight="1" x14ac:dyDescent="0.3">
      <c r="A13" s="18" t="s">
        <v>46</v>
      </c>
      <c r="C13" s="5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s="134" t="s">
        <v>47</v>
      </c>
      <c r="U13" s="134"/>
      <c r="V13" s="134"/>
      <c r="W13" s="134"/>
      <c r="X13" s="134"/>
      <c r="Y13" s="134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s="133"/>
    </row>
    <row r="14" spans="1:58" ht="15" customHeight="1" x14ac:dyDescent="0.3">
      <c r="A14" s="3" t="s">
        <v>48</v>
      </c>
      <c r="B14" s="102">
        <v>3</v>
      </c>
      <c r="C14" s="103">
        <v>16</v>
      </c>
      <c r="E14"/>
      <c r="F14"/>
      <c r="G14"/>
      <c r="H14"/>
      <c r="I14"/>
      <c r="J14"/>
      <c r="K14" s="130"/>
      <c r="L14"/>
      <c r="M14"/>
      <c r="N14"/>
      <c r="O14"/>
      <c r="P14"/>
      <c r="Q14"/>
      <c r="R14"/>
      <c r="S14"/>
      <c r="T14" s="135" t="s">
        <v>50</v>
      </c>
      <c r="U14" s="135"/>
      <c r="V14" s="135"/>
      <c r="W14" s="135" t="s">
        <v>51</v>
      </c>
      <c r="X14" s="135"/>
      <c r="Y14" s="135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s="133"/>
    </row>
    <row r="15" spans="1:58" ht="15" customHeight="1" x14ac:dyDescent="0.3">
      <c r="A15" s="3" t="s">
        <v>52</v>
      </c>
      <c r="B15" s="102">
        <v>3</v>
      </c>
      <c r="C15" s="103">
        <f>C14</f>
        <v>16</v>
      </c>
      <c r="D15" s="53"/>
      <c r="E15"/>
      <c r="F15"/>
      <c r="G15"/>
      <c r="H15"/>
      <c r="I15"/>
      <c r="J15"/>
      <c r="K15" s="131"/>
      <c r="L15"/>
      <c r="M15"/>
      <c r="N15"/>
      <c r="O15"/>
      <c r="P15"/>
      <c r="Q15"/>
      <c r="R15"/>
      <c r="S15"/>
      <c r="T15" s="127" t="s">
        <v>53</v>
      </c>
      <c r="U15" s="127" t="s">
        <v>54</v>
      </c>
      <c r="V15" s="127" t="s">
        <v>55</v>
      </c>
      <c r="W15" s="127" t="s">
        <v>53</v>
      </c>
      <c r="X15" s="127" t="s">
        <v>54</v>
      </c>
      <c r="Y15" s="127" t="s">
        <v>55</v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s="133"/>
    </row>
    <row r="16" spans="1:58" ht="15" customHeight="1" x14ac:dyDescent="0.3">
      <c r="A16" s="3" t="s">
        <v>56</v>
      </c>
      <c r="B16">
        <v>10</v>
      </c>
      <c r="E16"/>
      <c r="F16"/>
      <c r="G16"/>
      <c r="H16"/>
      <c r="I16"/>
      <c r="J16"/>
      <c r="K16" s="131"/>
      <c r="L16"/>
      <c r="M16"/>
      <c r="N16"/>
      <c r="O16"/>
      <c r="P16"/>
      <c r="Q16"/>
      <c r="R16"/>
      <c r="S16" s="126" t="s">
        <v>84</v>
      </c>
      <c r="T16" s="122">
        <f>AS10+($B$11*2)</f>
        <v>0.4</v>
      </c>
      <c r="U16" s="122">
        <f>AT10+($B$10*2)</f>
        <v>0.3</v>
      </c>
      <c r="V16" s="122">
        <f>J10+$B$12</f>
        <v>1.24</v>
      </c>
      <c r="W16" s="122">
        <f>AF10+($B$11*2)</f>
        <v>0.4</v>
      </c>
      <c r="X16" s="122">
        <f>AG10+($B$10*2)</f>
        <v>0.45000000000000007</v>
      </c>
      <c r="Y16" s="122">
        <f>I10-J10+$B$12</f>
        <v>2.9999999999999996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 s="133"/>
    </row>
    <row r="17" spans="1:58" ht="15" customHeight="1" x14ac:dyDescent="0.3">
      <c r="A17" s="8" t="s">
        <v>58</v>
      </c>
      <c r="B17">
        <v>0.2</v>
      </c>
      <c r="C17" s="5" t="s">
        <v>11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 s="126" t="s">
        <v>85</v>
      </c>
      <c r="T17" s="122">
        <f>AS11+($B$11*2)</f>
        <v>0.4</v>
      </c>
      <c r="U17" s="122">
        <f>AT11+($B$10*2)</f>
        <v>0.3</v>
      </c>
      <c r="V17" s="122">
        <f>J11+$B$12</f>
        <v>1.24</v>
      </c>
      <c r="W17" s="122">
        <f>AF11+($B$11*2)</f>
        <v>0.4</v>
      </c>
      <c r="X17" s="122">
        <f>AG11+($B$10*2)</f>
        <v>0.45000000000000007</v>
      </c>
      <c r="Y17" s="122">
        <f>I11-J11+$B$12</f>
        <v>2.9999999999999996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s="133"/>
    </row>
    <row r="18" spans="1:58" ht="16.5" customHeight="1" x14ac:dyDescent="0.3">
      <c r="A18" s="10" t="s">
        <v>59</v>
      </c>
      <c r="B18" s="7"/>
      <c r="C18" s="8"/>
      <c r="D18" s="9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s="133"/>
    </row>
    <row r="19" spans="1:58" ht="15" customHeight="1" x14ac:dyDescent="0.3">
      <c r="A19" s="3" t="s">
        <v>60</v>
      </c>
      <c r="B19" s="105">
        <v>0.25</v>
      </c>
      <c r="C19" s="52" t="s">
        <v>11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s="133"/>
    </row>
    <row r="20" spans="1:58" ht="15" customHeight="1" x14ac:dyDescent="0.3">
      <c r="A20" s="3"/>
      <c r="B20" s="54" t="s">
        <v>61</v>
      </c>
      <c r="C20" s="8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 s="133"/>
    </row>
    <row r="21" spans="1:58" ht="15" customHeight="1" x14ac:dyDescent="0.3">
      <c r="A21" s="3" t="s">
        <v>62</v>
      </c>
      <c r="B21">
        <v>0.05</v>
      </c>
      <c r="C21" s="5" t="s">
        <v>11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s="133"/>
    </row>
    <row r="22" spans="1:58" ht="15" customHeight="1" x14ac:dyDescent="0.3">
      <c r="A22" s="3"/>
      <c r="B22" s="19"/>
      <c r="C22" s="5"/>
      <c r="E22" s="16"/>
      <c r="F22" s="14"/>
      <c r="G22" s="14"/>
      <c r="H22" s="14"/>
      <c r="I22" s="59"/>
      <c r="J22" s="59"/>
      <c r="K22" s="59"/>
      <c r="L22" s="59"/>
      <c r="M22" s="64" t="s">
        <v>63</v>
      </c>
      <c r="N22" s="59"/>
      <c r="R22" s="62"/>
      <c r="S22"/>
      <c r="T22" s="44"/>
      <c r="U22" s="43"/>
      <c r="V22" s="43"/>
      <c r="W22" s="63"/>
      <c r="X22" s="43"/>
      <c r="Y22" s="44"/>
      <c r="Z22" s="58"/>
      <c r="AB22" s="43"/>
      <c r="AC22" s="43"/>
      <c r="AD22" s="81"/>
      <c r="AE22" s="23"/>
      <c r="AF22" s="43"/>
      <c r="AG22" s="43"/>
      <c r="AH22" s="43"/>
      <c r="AI22" s="43"/>
      <c r="AJ22" s="43"/>
      <c r="AK22" s="23"/>
      <c r="AL22" s="23"/>
      <c r="AM22" s="43"/>
      <c r="AN22" s="43"/>
      <c r="AO22" s="43"/>
      <c r="AP22" s="43"/>
      <c r="AQ22" s="23"/>
      <c r="AR22" s="23"/>
      <c r="AS22" s="43"/>
      <c r="AT22" s="43"/>
      <c r="AU22" s="43"/>
      <c r="AV22" s="43"/>
      <c r="AW22" s="23"/>
      <c r="AX22" s="23"/>
      <c r="AY22" s="23"/>
      <c r="AZ22" s="23"/>
      <c r="BA22" s="43"/>
      <c r="BB22" s="44"/>
      <c r="BC22" s="23"/>
    </row>
    <row r="23" spans="1:58" ht="15.6" x14ac:dyDescent="0.3">
      <c r="A23" s="60"/>
      <c r="Z23" s="61"/>
      <c r="AA23" s="48"/>
      <c r="AB23" s="5"/>
    </row>
    <row r="24" spans="1:58" s="87" customFormat="1" x14ac:dyDescent="0.3">
      <c r="A24" s="85" t="s">
        <v>86</v>
      </c>
      <c r="B24" s="85"/>
      <c r="C24" s="85"/>
      <c r="D24" s="85"/>
      <c r="E24" s="85"/>
      <c r="F24" s="85" t="s">
        <v>64</v>
      </c>
      <c r="G24" s="85" t="s">
        <v>5</v>
      </c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6"/>
      <c r="AA24" s="86"/>
      <c r="AB24" s="86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</row>
    <row r="25" spans="1:58" ht="15" customHeight="1" x14ac:dyDescent="0.3">
      <c r="A25" s="2" t="s">
        <v>7</v>
      </c>
      <c r="Z25" s="49"/>
      <c r="AA25" s="20"/>
      <c r="AB25" s="20"/>
    </row>
    <row r="26" spans="1:58" ht="15" customHeight="1" x14ac:dyDescent="0.3">
      <c r="A26" s="18" t="s">
        <v>8</v>
      </c>
      <c r="E26" s="18"/>
      <c r="H26" s="23"/>
      <c r="R26" s="165" t="s">
        <v>9</v>
      </c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24"/>
      <c r="BC26" s="5"/>
    </row>
    <row r="27" spans="1:58" ht="15" customHeight="1" x14ac:dyDescent="0.3">
      <c r="A27" s="3" t="s">
        <v>10</v>
      </c>
      <c r="B27" s="57">
        <v>0.45</v>
      </c>
      <c r="C27" s="5" t="s">
        <v>11</v>
      </c>
      <c r="E27" s="10"/>
      <c r="G27" s="6"/>
      <c r="I27" s="68" t="s">
        <v>12</v>
      </c>
      <c r="J27" s="169" t="s">
        <v>13</v>
      </c>
      <c r="K27" s="170"/>
      <c r="L27" s="171"/>
      <c r="M27" s="67" t="s">
        <v>14</v>
      </c>
      <c r="N27" s="21" t="s">
        <v>15</v>
      </c>
      <c r="P27" s="84"/>
      <c r="R27" s="136" t="s">
        <v>12</v>
      </c>
      <c r="S27" s="137"/>
      <c r="T27" s="137"/>
      <c r="U27" s="137"/>
      <c r="V27" s="138"/>
      <c r="W27" s="136" t="s">
        <v>13</v>
      </c>
      <c r="X27" s="137"/>
      <c r="Y27" s="137"/>
      <c r="Z27" s="137"/>
      <c r="AA27" s="137"/>
      <c r="AB27" s="137"/>
      <c r="AC27" s="138"/>
      <c r="AD27" s="136" t="s">
        <v>16</v>
      </c>
      <c r="AE27" s="137"/>
      <c r="AF27" s="137"/>
      <c r="AG27" s="137"/>
      <c r="AH27" s="137"/>
      <c r="AI27" s="137"/>
      <c r="AJ27" s="138"/>
      <c r="AK27" s="136" t="s">
        <v>17</v>
      </c>
      <c r="AL27" s="137"/>
      <c r="AM27" s="137"/>
      <c r="AN27" s="137"/>
      <c r="AO27" s="137"/>
      <c r="AP27" s="138"/>
      <c r="AQ27" s="136" t="s">
        <v>18</v>
      </c>
      <c r="AR27" s="137"/>
      <c r="AS27" s="137"/>
      <c r="AT27" s="137"/>
      <c r="AU27" s="137"/>
      <c r="AV27" s="137"/>
      <c r="AW27" s="136" t="s">
        <v>19</v>
      </c>
      <c r="AX27" s="137"/>
      <c r="AY27" s="137"/>
      <c r="AZ27" s="137"/>
      <c r="BA27" s="138"/>
      <c r="BB27" s="25" t="s">
        <v>20</v>
      </c>
      <c r="BC27" s="5"/>
    </row>
    <row r="28" spans="1:58" ht="15" customHeight="1" x14ac:dyDescent="0.3">
      <c r="A28" s="3" t="s">
        <v>21</v>
      </c>
      <c r="B28" s="57">
        <f>B38+0.15</f>
        <v>0.35</v>
      </c>
      <c r="C28" s="5" t="s">
        <v>11</v>
      </c>
      <c r="E28" s="11" t="s">
        <v>22</v>
      </c>
      <c r="F28" s="12" t="s">
        <v>65</v>
      </c>
      <c r="G28" s="13" t="s">
        <v>66</v>
      </c>
      <c r="H28" s="13" t="s">
        <v>67</v>
      </c>
      <c r="I28" s="89" t="s">
        <v>26</v>
      </c>
      <c r="J28" s="89" t="s">
        <v>27</v>
      </c>
      <c r="K28" s="90" t="s">
        <v>28</v>
      </c>
      <c r="L28" s="91" t="s">
        <v>29</v>
      </c>
      <c r="M28" s="90" t="s">
        <v>30</v>
      </c>
      <c r="N28" s="22" t="s">
        <v>68</v>
      </c>
      <c r="O28" s="88" t="s">
        <v>32</v>
      </c>
      <c r="P28" s="88" t="s">
        <v>33</v>
      </c>
      <c r="Q28" s="88" t="s">
        <v>34</v>
      </c>
      <c r="R28" s="89" t="s">
        <v>35</v>
      </c>
      <c r="S28" s="90" t="s">
        <v>36</v>
      </c>
      <c r="T28" s="27" t="s">
        <v>26</v>
      </c>
      <c r="U28" s="28" t="s">
        <v>37</v>
      </c>
      <c r="V28" s="28" t="s">
        <v>31</v>
      </c>
      <c r="W28" s="89" t="s">
        <v>35</v>
      </c>
      <c r="X28" s="90" t="s">
        <v>36</v>
      </c>
      <c r="Y28" s="28" t="s">
        <v>27</v>
      </c>
      <c r="Z28" s="113" t="s">
        <v>28</v>
      </c>
      <c r="AA28" s="27" t="s">
        <v>29</v>
      </c>
      <c r="AB28" s="28" t="s">
        <v>37</v>
      </c>
      <c r="AC28" s="28" t="s">
        <v>31</v>
      </c>
      <c r="AD28" s="89" t="s">
        <v>35</v>
      </c>
      <c r="AE28" s="90" t="s">
        <v>36</v>
      </c>
      <c r="AF28" s="90" t="s">
        <v>38</v>
      </c>
      <c r="AG28" s="91" t="s">
        <v>39</v>
      </c>
      <c r="AH28" s="90" t="s">
        <v>40</v>
      </c>
      <c r="AI28" s="28" t="s">
        <v>37</v>
      </c>
      <c r="AJ28" s="28" t="s">
        <v>31</v>
      </c>
      <c r="AK28" s="89" t="s">
        <v>35</v>
      </c>
      <c r="AL28" s="90" t="s">
        <v>36</v>
      </c>
      <c r="AM28" s="90" t="s">
        <v>38</v>
      </c>
      <c r="AN28" s="91" t="s">
        <v>39</v>
      </c>
      <c r="AO28" s="28" t="s">
        <v>37</v>
      </c>
      <c r="AP28" s="28" t="s">
        <v>31</v>
      </c>
      <c r="AQ28" s="89" t="s">
        <v>35</v>
      </c>
      <c r="AR28" s="90" t="s">
        <v>36</v>
      </c>
      <c r="AS28" s="90" t="s">
        <v>38</v>
      </c>
      <c r="AT28" s="91" t="s">
        <v>39</v>
      </c>
      <c r="AU28" s="28" t="s">
        <v>37</v>
      </c>
      <c r="AV28" s="28" t="s">
        <v>31</v>
      </c>
      <c r="AW28" s="89" t="s">
        <v>35</v>
      </c>
      <c r="AX28" s="90" t="s">
        <v>36</v>
      </c>
      <c r="AY28" t="s">
        <v>41</v>
      </c>
      <c r="AZ28" s="28" t="s">
        <v>37</v>
      </c>
      <c r="BA28" s="27" t="s">
        <v>31</v>
      </c>
      <c r="BB28" s="29" t="s">
        <v>42</v>
      </c>
      <c r="BC28" s="5"/>
    </row>
    <row r="29" spans="1:58" ht="15" customHeight="1" x14ac:dyDescent="0.3">
      <c r="A29" s="3" t="s">
        <v>43</v>
      </c>
      <c r="B29" s="4">
        <v>7.4999999999999997E-2</v>
      </c>
      <c r="C29" s="5" t="s">
        <v>11</v>
      </c>
      <c r="D29" s="3"/>
      <c r="E29" s="55"/>
      <c r="F29" s="153">
        <v>6</v>
      </c>
      <c r="G29" s="155">
        <v>0.9</v>
      </c>
      <c r="H29" s="157">
        <v>1</v>
      </c>
      <c r="I29" s="92">
        <f t="shared" ref="I29:I30" si="11">T29</f>
        <v>3.34</v>
      </c>
      <c r="J29" s="92">
        <f t="shared" ref="J29:L30" si="12">Y29</f>
        <v>1.02</v>
      </c>
      <c r="K29" s="114">
        <f t="shared" si="12"/>
        <v>0.2121320343559642</v>
      </c>
      <c r="L29" s="94">
        <f t="shared" si="12"/>
        <v>2.17</v>
      </c>
      <c r="M29" s="95">
        <f t="shared" ref="M29:M30" si="13">AD29</f>
        <v>10</v>
      </c>
      <c r="N29" s="161">
        <f>BC29</f>
        <v>108.37570610128228</v>
      </c>
      <c r="O29" s="119">
        <f>N29*1.05</f>
        <v>113.7944914063464</v>
      </c>
      <c r="P29" s="120">
        <f>1.05*(V29+V30+AC29+AC30+AJ29+AJ30+AP29+AP30+AV29+AV30)</f>
        <v>89.73630340634638</v>
      </c>
      <c r="Q29" s="120">
        <f>1.05*(BA29+BA30)</f>
        <v>24.058188000000001</v>
      </c>
      <c r="R29" s="107">
        <f>$B$34</f>
        <v>3</v>
      </c>
      <c r="S29" s="93">
        <f>$C$33</f>
        <v>16</v>
      </c>
      <c r="T29" s="30">
        <f>(F29-G29*0.5-H29*0.5)*0.5+G29-0.085</f>
        <v>3.34</v>
      </c>
      <c r="U29" s="31">
        <f>T29*R29</f>
        <v>10.02</v>
      </c>
      <c r="V29" s="32">
        <f>IF(S29=6,0.222,IF(S29=8,0.395,IF(S29=10,0.617,IF(S29=12,0.888,IF(S29=16,1.578,IF(S29=20,2.47,IF(S29=25,3.85,"NO CONT.")))))))*U29</f>
        <v>15.81156</v>
      </c>
      <c r="W29" s="107">
        <f>$B$33</f>
        <v>3</v>
      </c>
      <c r="X29" s="93">
        <f>$C$34</f>
        <v>16</v>
      </c>
      <c r="Y29" s="34">
        <f>G29+0.15-0.03</f>
        <v>1.02</v>
      </c>
      <c r="Z29" s="114">
        <f>(AG29-AT29)*2/SQRT(2)</f>
        <v>0.2121320343559642</v>
      </c>
      <c r="AA29" s="30">
        <f t="shared" ref="AA29:AA30" si="14">T29-Y29-Z29*SQRT(2)/2</f>
        <v>2.17</v>
      </c>
      <c r="AB29" s="31">
        <f t="shared" ref="AB29:AB30" si="15">(Y29+Z29+AA29)*W29</f>
        <v>10.206396103067892</v>
      </c>
      <c r="AC29" s="32">
        <f>IF(X29=6,0.222,IF(X29=8,0.395,IF(X29=10,0.617,IF(X29=12,0.888,IF(X29=16,1.578,IF(X29=20,2.47,IF(X29=25,3.85,"NO CONT.")))))))*AB29</f>
        <v>16.105693050641133</v>
      </c>
      <c r="AD29" s="110">
        <f>ROUNDUP((AA29-0.28)/$B$36,0)</f>
        <v>10</v>
      </c>
      <c r="AE29" s="111">
        <f>$B$35</f>
        <v>10</v>
      </c>
      <c r="AF29" s="93">
        <f>$B$27-$B$29*2</f>
        <v>0.30000000000000004</v>
      </c>
      <c r="AG29" s="94">
        <f>$B$28-$B$30*2</f>
        <v>0.24999999999999997</v>
      </c>
      <c r="AH29" s="92">
        <f>$B$36</f>
        <v>0.2</v>
      </c>
      <c r="AI29" s="31">
        <f>(AF29*2+AG29*2+0.14)*AD29</f>
        <v>12.400000000000002</v>
      </c>
      <c r="AJ29" s="32">
        <f>IF(AE29=6,0.222,IF(AE29=8,0.395,IF(AE29=10,0.617,IF(AE29=12,0.888,IF(AE29=16,1.578,IF(AE29=20,2.47,IF(AE29=25,3.85,"NO CONT.")))))))*AI29</f>
        <v>7.6508000000000012</v>
      </c>
      <c r="AK29" s="110">
        <v>2</v>
      </c>
      <c r="AL29" s="111">
        <f>$B$35</f>
        <v>10</v>
      </c>
      <c r="AM29" s="93">
        <f>$B$27-$B$29*2</f>
        <v>0.30000000000000004</v>
      </c>
      <c r="AN29" s="94">
        <f>$B$28-$B$30*2</f>
        <v>0.24999999999999997</v>
      </c>
      <c r="AO29" s="31">
        <f>(AM29*2+AN29*2+0.14)*AK29</f>
        <v>2.4800000000000004</v>
      </c>
      <c r="AP29" s="32">
        <f>IF(AL29=6,0.222,IF(AL29=8,0.395,IF(AL29=10,0.617,IF(AL29=12,0.888,IF(AL29=16,1.578,IF(AL29=20,2.47,IF(AL29=25,3.85,"NO CONT.")))))))*AO29</f>
        <v>1.5301600000000002</v>
      </c>
      <c r="AQ29" s="110">
        <v>2</v>
      </c>
      <c r="AR29" s="111">
        <f>$B$35</f>
        <v>10</v>
      </c>
      <c r="AS29" s="93">
        <f>$B$27-$B$29*2</f>
        <v>0.30000000000000004</v>
      </c>
      <c r="AT29" s="94">
        <f>$B$38-$B$40*2</f>
        <v>0.1</v>
      </c>
      <c r="AU29" s="31">
        <f>(AS29*2+AT29*2+0.14)*AQ29</f>
        <v>1.8800000000000001</v>
      </c>
      <c r="AV29" s="33">
        <f>IF(AR29=6,0.222,IF(AR29=8,0.395,IF(AR29=10,0.617,IF(AR29=12,0.888,IF(AR29=16,1.578,IF(AR29=20,2.47,IF(AR29=25,3.85,"NO CONT.")))))))*AU29</f>
        <v>1.1599600000000001</v>
      </c>
      <c r="AW29" s="110">
        <f>B33</f>
        <v>3</v>
      </c>
      <c r="AX29" s="111">
        <f>$C$33</f>
        <v>16</v>
      </c>
      <c r="AY29">
        <v>2.42</v>
      </c>
      <c r="AZ29" s="77">
        <f>AY29*AW29</f>
        <v>7.26</v>
      </c>
      <c r="BA29" s="32">
        <f>IF(AX29=6,0.222,IF(AX29=8,0.395,IF(AX29=10,0.617,IF(AX29=12,0.888,IF(AX29=16,1.578,IF(AX29=20,2.47,IF(AX29=25,3.85,"NO CONT.")))))))*AZ29</f>
        <v>11.45628</v>
      </c>
      <c r="BB29" s="35">
        <f>BA29+AV29+AP29+AJ29+AC29+V29</f>
        <v>53.714453050641133</v>
      </c>
      <c r="BC29" s="149">
        <f>BB29+BB30</f>
        <v>108.37570610128228</v>
      </c>
    </row>
    <row r="30" spans="1:58" ht="15" customHeight="1" x14ac:dyDescent="0.3">
      <c r="A30" s="3" t="s">
        <v>44</v>
      </c>
      <c r="B30" s="57">
        <v>0.05</v>
      </c>
      <c r="C30" s="5" t="s">
        <v>11</v>
      </c>
      <c r="D30" s="3"/>
      <c r="E30" s="56"/>
      <c r="F30" s="154"/>
      <c r="G30" s="156"/>
      <c r="H30" s="158"/>
      <c r="I30" s="96">
        <f t="shared" si="11"/>
        <v>3.44</v>
      </c>
      <c r="J30" s="96">
        <f t="shared" si="12"/>
        <v>1.1199999999999999</v>
      </c>
      <c r="K30" s="116">
        <f t="shared" si="12"/>
        <v>0.2121320343559642</v>
      </c>
      <c r="L30" s="97">
        <f t="shared" si="12"/>
        <v>2.1700000000000004</v>
      </c>
      <c r="M30" s="98">
        <f t="shared" si="13"/>
        <v>10</v>
      </c>
      <c r="N30" s="162"/>
      <c r="R30" s="108">
        <f>$B$34</f>
        <v>3</v>
      </c>
      <c r="S30" s="109">
        <f>$C$33</f>
        <v>16</v>
      </c>
      <c r="T30" s="36">
        <f>(F29-G29*0.5-H29*0.5)*0.5+H29-0.085</f>
        <v>3.44</v>
      </c>
      <c r="U30" s="37">
        <f t="shared" ref="U30" si="16">T30*R30</f>
        <v>10.32</v>
      </c>
      <c r="V30" s="38">
        <f>IF(S30=6,0.222,IF(S30=8,0.395,IF(S30=10,0.617,IF(S30=12,0.888,IF(S30=16,1.578,IF(S30=20,2.47,IF(S30=25,3.85,"NO CONT.")))))))*U30</f>
        <v>16.284960000000002</v>
      </c>
      <c r="W30" s="108">
        <f>$B$33</f>
        <v>3</v>
      </c>
      <c r="X30" s="109">
        <f>$C$34</f>
        <v>16</v>
      </c>
      <c r="Y30" s="40">
        <f>H29+0.15-0.03</f>
        <v>1.1199999999999999</v>
      </c>
      <c r="Z30" s="114">
        <f>(AG30-AT30)*2/SQRT(2)</f>
        <v>0.2121320343559642</v>
      </c>
      <c r="AA30" s="36">
        <f t="shared" si="14"/>
        <v>2.1700000000000004</v>
      </c>
      <c r="AB30" s="37">
        <f t="shared" si="15"/>
        <v>10.506396103067894</v>
      </c>
      <c r="AC30" s="38">
        <f>IF(X30=6,0.222,IF(X30=8,0.395,IF(X30=10,0.617,IF(X30=12,0.888,IF(X30=16,1.578,IF(X30=20,2.47,IF(X30=25,3.85,"NO CONT.")))))))*AB30</f>
        <v>16.579093050641138</v>
      </c>
      <c r="AD30" s="89">
        <f>ROUNDUP((AA30-0.28)/$B$36,0)</f>
        <v>10</v>
      </c>
      <c r="AE30" s="90">
        <f>$B$35</f>
        <v>10</v>
      </c>
      <c r="AF30" s="109">
        <f>$B$27-$B$29*2</f>
        <v>0.30000000000000004</v>
      </c>
      <c r="AG30" s="112">
        <f>$B$28-$B$30*2</f>
        <v>0.24999999999999997</v>
      </c>
      <c r="AH30" s="123">
        <f>$B$36</f>
        <v>0.2</v>
      </c>
      <c r="AI30" s="37">
        <f>(AF30*2+AG30*2+0.14)*AD30</f>
        <v>12.400000000000002</v>
      </c>
      <c r="AJ30" s="38">
        <f>IF(AE30=6,0.222,IF(AE30=8,0.395,IF(AE30=10,0.617,IF(AE30=12,0.888,IF(AE30=16,1.578,IF(AE30=20,2.47,IF(AE30=25,3.85,"NO CONT.")))))))*AI30</f>
        <v>7.6508000000000012</v>
      </c>
      <c r="AK30" s="89">
        <v>2</v>
      </c>
      <c r="AL30" s="90">
        <f>$B$35</f>
        <v>10</v>
      </c>
      <c r="AM30" s="109">
        <f>$B$27-$B$29*2</f>
        <v>0.30000000000000004</v>
      </c>
      <c r="AN30" s="112">
        <f>$B$28-$B$30*2</f>
        <v>0.24999999999999997</v>
      </c>
      <c r="AO30" s="37">
        <f t="shared" ref="AO30" si="17">(AM30*2+AN30*2+0.14)*AK30</f>
        <v>2.4800000000000004</v>
      </c>
      <c r="AP30" s="38">
        <f>IF(AL30=6,0.222,IF(AL30=8,0.395,IF(AL30=10,0.617,IF(AL30=12,0.888,IF(AL30=16,1.578,IF(AL30=20,2.47,IF(AL30=25,3.85,"NO CONT.")))))))*AO30</f>
        <v>1.5301600000000002</v>
      </c>
      <c r="AQ30" s="89">
        <v>2</v>
      </c>
      <c r="AR30" s="90">
        <f>$B$35</f>
        <v>10</v>
      </c>
      <c r="AS30" s="109">
        <f>$B$27-$B$29*2</f>
        <v>0.30000000000000004</v>
      </c>
      <c r="AT30" s="112">
        <f>$B$38-$B$40*2</f>
        <v>0.1</v>
      </c>
      <c r="AU30" s="37">
        <f t="shared" ref="AU30" si="18">(AS30*2+AT30*2+0.14)*AQ30</f>
        <v>1.8800000000000001</v>
      </c>
      <c r="AV30" s="39">
        <f>IF(AR30=6,0.222,IF(AR30=8,0.395,IF(AR30=10,0.617,IF(AR30=12,0.888,IF(AR30=16,1.578,IF(AR30=20,2.47,IF(AR30=25,3.85,"NO CONT.")))))))*AU30</f>
        <v>1.1599600000000001</v>
      </c>
      <c r="AW30" s="118">
        <f>B33</f>
        <v>3</v>
      </c>
      <c r="AX30" s="99">
        <f>$C$33</f>
        <v>16</v>
      </c>
      <c r="AY30">
        <v>2.42</v>
      </c>
      <c r="AZ30" s="80">
        <f t="shared" ref="AZ30" si="19">AY30*AW30</f>
        <v>7.26</v>
      </c>
      <c r="BA30" s="41">
        <f>IF(AX30=6,0.222,IF(AX30=8,0.395,IF(AX30=10,0.617,IF(AX30=12,0.888,IF(AX30=16,1.578,IF(AX30=20,2.47,IF(AX30=25,3.85,"NO CONT.")))))))*AZ30</f>
        <v>11.45628</v>
      </c>
      <c r="BB30" s="35">
        <f>BA30+AV30+AP30+AJ30+AC30+V30</f>
        <v>54.661253050641136</v>
      </c>
      <c r="BC30" s="150"/>
    </row>
    <row r="31" spans="1:58" ht="67.5" customHeight="1" x14ac:dyDescent="0.3">
      <c r="A31" s="3" t="s">
        <v>92</v>
      </c>
      <c r="B31" s="4">
        <v>0.05</v>
      </c>
      <c r="C31" s="5"/>
      <c r="D31" s="3"/>
      <c r="E31"/>
      <c r="F31"/>
      <c r="G31"/>
      <c r="H31"/>
      <c r="I31"/>
      <c r="J31"/>
      <c r="K31" s="117" t="s">
        <v>45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 s="133"/>
      <c r="BD31"/>
      <c r="BE31"/>
      <c r="BF31"/>
    </row>
    <row r="32" spans="1:58" ht="15" customHeight="1" x14ac:dyDescent="0.3">
      <c r="A32" s="18" t="s">
        <v>46</v>
      </c>
      <c r="C32" s="5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134" t="s">
        <v>47</v>
      </c>
      <c r="U32" s="134"/>
      <c r="V32" s="134"/>
      <c r="W32" s="134"/>
      <c r="X32" s="134"/>
      <c r="Y32" s="134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 s="133"/>
      <c r="BD32"/>
      <c r="BE32"/>
      <c r="BF32"/>
    </row>
    <row r="33" spans="1:58" ht="15" customHeight="1" x14ac:dyDescent="0.3">
      <c r="A33" s="3" t="s">
        <v>48</v>
      </c>
      <c r="B33" s="102">
        <v>3</v>
      </c>
      <c r="C33" s="103">
        <v>16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135" t="s">
        <v>69</v>
      </c>
      <c r="U33" s="135"/>
      <c r="V33" s="135"/>
      <c r="W33" s="135" t="s">
        <v>51</v>
      </c>
      <c r="X33" s="135"/>
      <c r="Y33" s="135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 s="133"/>
      <c r="BD33"/>
      <c r="BE33"/>
      <c r="BF33"/>
    </row>
    <row r="34" spans="1:58" ht="15" customHeight="1" x14ac:dyDescent="0.3">
      <c r="A34" s="3" t="s">
        <v>52</v>
      </c>
      <c r="B34" s="102">
        <f>B33</f>
        <v>3</v>
      </c>
      <c r="C34" s="103">
        <f>C33</f>
        <v>16</v>
      </c>
      <c r="D34" s="53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127" t="s">
        <v>53</v>
      </c>
      <c r="U34" s="127" t="s">
        <v>54</v>
      </c>
      <c r="V34" s="127" t="s">
        <v>55</v>
      </c>
      <c r="W34" s="127" t="s">
        <v>53</v>
      </c>
      <c r="X34" s="127" t="s">
        <v>54</v>
      </c>
      <c r="Y34" s="127" t="s">
        <v>55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 s="133"/>
      <c r="BD34"/>
      <c r="BE34"/>
      <c r="BF34"/>
    </row>
    <row r="35" spans="1:58" ht="15" customHeight="1" x14ac:dyDescent="0.3">
      <c r="A35" s="3" t="s">
        <v>56</v>
      </c>
      <c r="B35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 s="126" t="s">
        <v>84</v>
      </c>
      <c r="T35" s="122">
        <f>AS29+($B$30*2)</f>
        <v>0.4</v>
      </c>
      <c r="U35" s="122">
        <f>AT29+($B$29*2)</f>
        <v>0.25</v>
      </c>
      <c r="V35" s="122">
        <f>J29+$B$31</f>
        <v>1.07</v>
      </c>
      <c r="W35" s="122">
        <f>AF29+($B$30*2)</f>
        <v>0.4</v>
      </c>
      <c r="X35" s="122">
        <f>AG29+($B$29*2)</f>
        <v>0.39999999999999997</v>
      </c>
      <c r="Y35" s="122">
        <f>I29-J29+$B$31</f>
        <v>2.3699999999999997</v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s="133"/>
      <c r="BD35"/>
      <c r="BE35"/>
      <c r="BF35"/>
    </row>
    <row r="36" spans="1:58" ht="15" customHeight="1" x14ac:dyDescent="0.3">
      <c r="A36" s="8" t="s">
        <v>58</v>
      </c>
      <c r="B36">
        <v>0.2</v>
      </c>
      <c r="C36" s="5" t="s">
        <v>11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 s="126" t="s">
        <v>85</v>
      </c>
      <c r="T36" s="122">
        <f>AS30+($B$30*2)</f>
        <v>0.4</v>
      </c>
      <c r="U36" s="122">
        <f>AT30+($B$29*2)</f>
        <v>0.25</v>
      </c>
      <c r="V36" s="122">
        <f>J30+$B$31</f>
        <v>1.17</v>
      </c>
      <c r="W36" s="122">
        <f>AF30+($B$30*2)</f>
        <v>0.4</v>
      </c>
      <c r="X36" s="122">
        <f>AG30+($B$29*2)</f>
        <v>0.39999999999999997</v>
      </c>
      <c r="Y36" s="122">
        <f>I30-J30+$B$31</f>
        <v>2.37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 s="133"/>
      <c r="BD36"/>
      <c r="BE36"/>
      <c r="BF36"/>
    </row>
    <row r="37" spans="1:58" ht="15" customHeight="1" x14ac:dyDescent="0.3">
      <c r="A37" s="10" t="s">
        <v>59</v>
      </c>
      <c r="B37" s="7"/>
      <c r="C37" s="8"/>
      <c r="D37" s="9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 s="133"/>
      <c r="BD37"/>
      <c r="BE37"/>
      <c r="BF37"/>
    </row>
    <row r="38" spans="1:58" ht="15" customHeight="1" x14ac:dyDescent="0.3">
      <c r="A38" s="3" t="s">
        <v>60</v>
      </c>
      <c r="B38" s="105">
        <v>0.2</v>
      </c>
      <c r="C38" s="52" t="s">
        <v>11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s="133"/>
      <c r="BD38"/>
      <c r="BE38"/>
      <c r="BF38"/>
    </row>
    <row r="39" spans="1:58" ht="15" customHeight="1" x14ac:dyDescent="0.3">
      <c r="A39" s="3"/>
      <c r="B39" s="54" t="s">
        <v>61</v>
      </c>
      <c r="C39" s="8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 s="133"/>
      <c r="BD39"/>
      <c r="BE39"/>
      <c r="BF39"/>
    </row>
    <row r="40" spans="1:58" ht="15" customHeight="1" x14ac:dyDescent="0.3">
      <c r="A40" s="3" t="s">
        <v>62</v>
      </c>
      <c r="B40">
        <v>0.05</v>
      </c>
      <c r="C40" s="5" t="s">
        <v>11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s="133"/>
      <c r="BD40"/>
      <c r="BE40"/>
      <c r="BF40"/>
    </row>
    <row r="41" spans="1:58" ht="15" customHeight="1" x14ac:dyDescent="0.3">
      <c r="C41" s="17"/>
      <c r="D41" s="4"/>
      <c r="M41" s="64" t="s">
        <v>63</v>
      </c>
      <c r="R41" s="23"/>
      <c r="S41" s="23"/>
      <c r="T41" s="23"/>
      <c r="U41" s="23"/>
      <c r="V41" s="23"/>
      <c r="W41" s="23"/>
      <c r="X41" s="23"/>
      <c r="Y41" s="23"/>
      <c r="Z41" s="48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spans="1:58" ht="15" customHeight="1" x14ac:dyDescent="0.3">
      <c r="C42" s="5"/>
      <c r="R42" s="23"/>
      <c r="S42" s="23"/>
      <c r="T42" s="23"/>
      <c r="U42" s="23"/>
      <c r="V42" s="23"/>
      <c r="W42" s="23"/>
      <c r="X42" s="23"/>
      <c r="Y42" s="23"/>
      <c r="Z42" s="23"/>
      <c r="AD42" s="5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8" s="87" customFormat="1" ht="15" customHeight="1" x14ac:dyDescent="0.3">
      <c r="A43" s="85" t="s">
        <v>87</v>
      </c>
      <c r="B43" s="85"/>
      <c r="C43" s="85"/>
      <c r="D43" s="85"/>
      <c r="E43" s="85"/>
      <c r="F43" s="85" t="s">
        <v>70</v>
      </c>
      <c r="G43" s="85" t="s">
        <v>71</v>
      </c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6"/>
      <c r="AA43" s="86"/>
      <c r="AB43" s="86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</row>
    <row r="44" spans="1:58" ht="15" customHeight="1" x14ac:dyDescent="0.3">
      <c r="A44" s="2" t="s">
        <v>7</v>
      </c>
      <c r="Z44" s="49"/>
      <c r="AA44" s="20"/>
      <c r="AB44" s="20"/>
    </row>
    <row r="45" spans="1:58" ht="15" customHeight="1" x14ac:dyDescent="0.3">
      <c r="A45" s="18" t="s">
        <v>8</v>
      </c>
      <c r="E45" s="18"/>
      <c r="H45" s="23"/>
      <c r="R45" s="165" t="s">
        <v>9</v>
      </c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24"/>
      <c r="BC45" s="5"/>
    </row>
    <row r="46" spans="1:58" ht="15" customHeight="1" x14ac:dyDescent="0.3">
      <c r="A46" s="3" t="s">
        <v>10</v>
      </c>
      <c r="B46" s="57">
        <v>0.5</v>
      </c>
      <c r="C46" s="5" t="s">
        <v>11</v>
      </c>
      <c r="E46" s="10"/>
      <c r="G46" s="6"/>
      <c r="I46" s="69" t="s">
        <v>12</v>
      </c>
      <c r="J46" s="166" t="s">
        <v>13</v>
      </c>
      <c r="K46" s="168"/>
      <c r="L46" s="167"/>
      <c r="M46" s="70" t="s">
        <v>14</v>
      </c>
      <c r="N46" s="65" t="s">
        <v>72</v>
      </c>
      <c r="R46" s="136" t="s">
        <v>12</v>
      </c>
      <c r="S46" s="137"/>
      <c r="T46" s="137"/>
      <c r="U46" s="137"/>
      <c r="V46" s="138"/>
      <c r="W46" s="136" t="s">
        <v>13</v>
      </c>
      <c r="X46" s="137"/>
      <c r="Y46" s="137"/>
      <c r="Z46" s="137"/>
      <c r="AA46" s="137"/>
      <c r="AB46" s="137"/>
      <c r="AC46" s="138"/>
      <c r="AD46" s="136" t="s">
        <v>16</v>
      </c>
      <c r="AE46" s="137"/>
      <c r="AF46" s="137"/>
      <c r="AG46" s="137"/>
      <c r="AH46" s="137"/>
      <c r="AI46" s="137"/>
      <c r="AJ46" s="138"/>
      <c r="AK46" s="136" t="s">
        <v>17</v>
      </c>
      <c r="AL46" s="137"/>
      <c r="AM46" s="137"/>
      <c r="AN46" s="137"/>
      <c r="AO46" s="137"/>
      <c r="AP46" s="138"/>
      <c r="AQ46" s="136" t="s">
        <v>18</v>
      </c>
      <c r="AR46" s="137"/>
      <c r="AS46" s="137"/>
      <c r="AT46" s="137"/>
      <c r="AU46" s="137"/>
      <c r="AV46" s="137"/>
      <c r="AW46" s="136" t="s">
        <v>19</v>
      </c>
      <c r="AX46" s="137"/>
      <c r="AY46" s="137"/>
      <c r="AZ46" s="137"/>
      <c r="BA46" s="138"/>
      <c r="BB46" s="25" t="s">
        <v>20</v>
      </c>
      <c r="BC46" s="5"/>
    </row>
    <row r="47" spans="1:58" ht="15" customHeight="1" x14ac:dyDescent="0.3">
      <c r="A47" s="3" t="s">
        <v>21</v>
      </c>
      <c r="B47" s="57">
        <f>B57+0.15</f>
        <v>0.35</v>
      </c>
      <c r="C47" s="5" t="s">
        <v>11</v>
      </c>
      <c r="E47" s="11" t="s">
        <v>22</v>
      </c>
      <c r="F47" s="12" t="s">
        <v>65</v>
      </c>
      <c r="G47" s="13" t="s">
        <v>66</v>
      </c>
      <c r="H47" s="13" t="s">
        <v>67</v>
      </c>
      <c r="I47" s="89" t="s">
        <v>26</v>
      </c>
      <c r="J47" s="89" t="s">
        <v>27</v>
      </c>
      <c r="K47" s="90" t="s">
        <v>28</v>
      </c>
      <c r="L47" s="91" t="s">
        <v>29</v>
      </c>
      <c r="M47" s="90" t="s">
        <v>30</v>
      </c>
      <c r="N47" s="66" t="s">
        <v>73</v>
      </c>
      <c r="O47" s="88" t="s">
        <v>32</v>
      </c>
      <c r="P47" s="88" t="s">
        <v>33</v>
      </c>
      <c r="Q47" s="88" t="s">
        <v>34</v>
      </c>
      <c r="R47" s="89" t="s">
        <v>35</v>
      </c>
      <c r="S47" s="90" t="s">
        <v>36</v>
      </c>
      <c r="T47" s="27" t="s">
        <v>26</v>
      </c>
      <c r="U47" s="28" t="s">
        <v>37</v>
      </c>
      <c r="V47" s="28" t="s">
        <v>31</v>
      </c>
      <c r="W47" s="89" t="s">
        <v>35</v>
      </c>
      <c r="X47" s="90" t="s">
        <v>36</v>
      </c>
      <c r="Y47" s="28" t="s">
        <v>27</v>
      </c>
      <c r="Z47" s="113" t="s">
        <v>28</v>
      </c>
      <c r="AA47" s="27" t="s">
        <v>29</v>
      </c>
      <c r="AB47" s="28" t="s">
        <v>37</v>
      </c>
      <c r="AC47" s="28" t="s">
        <v>31</v>
      </c>
      <c r="AD47" s="89" t="s">
        <v>35</v>
      </c>
      <c r="AE47" s="90" t="s">
        <v>36</v>
      </c>
      <c r="AF47" s="90" t="s">
        <v>38</v>
      </c>
      <c r="AG47" s="91" t="s">
        <v>39</v>
      </c>
      <c r="AH47" s="90" t="s">
        <v>40</v>
      </c>
      <c r="AI47" s="28" t="s">
        <v>37</v>
      </c>
      <c r="AJ47" s="28" t="s">
        <v>31</v>
      </c>
      <c r="AK47" s="89" t="s">
        <v>35</v>
      </c>
      <c r="AL47" s="90" t="s">
        <v>36</v>
      </c>
      <c r="AM47" s="90" t="s">
        <v>38</v>
      </c>
      <c r="AN47" s="91" t="s">
        <v>39</v>
      </c>
      <c r="AO47" s="28" t="s">
        <v>37</v>
      </c>
      <c r="AP47" s="28" t="s">
        <v>31</v>
      </c>
      <c r="AQ47" s="89" t="s">
        <v>35</v>
      </c>
      <c r="AR47" s="90" t="s">
        <v>36</v>
      </c>
      <c r="AS47" s="90" t="s">
        <v>38</v>
      </c>
      <c r="AT47" s="91" t="s">
        <v>39</v>
      </c>
      <c r="AU47" s="28" t="s">
        <v>37</v>
      </c>
      <c r="AV47" s="28" t="s">
        <v>31</v>
      </c>
      <c r="AW47" s="89" t="s">
        <v>35</v>
      </c>
      <c r="AX47" s="90" t="s">
        <v>36</v>
      </c>
      <c r="AY47" t="s">
        <v>41</v>
      </c>
      <c r="AZ47" s="28" t="s">
        <v>37</v>
      </c>
      <c r="BA47" s="27" t="s">
        <v>31</v>
      </c>
      <c r="BB47" s="29" t="s">
        <v>42</v>
      </c>
      <c r="BC47" s="5"/>
    </row>
    <row r="48" spans="1:58" ht="15" customHeight="1" x14ac:dyDescent="0.3">
      <c r="A48" s="3" t="s">
        <v>43</v>
      </c>
      <c r="B48" s="4">
        <v>7.4999999999999997E-2</v>
      </c>
      <c r="C48" s="5" t="s">
        <v>11</v>
      </c>
      <c r="D48" s="3"/>
      <c r="E48" s="55"/>
      <c r="F48" s="153">
        <v>3.7</v>
      </c>
      <c r="G48" s="155">
        <v>1.5</v>
      </c>
      <c r="H48" s="157">
        <v>0.8</v>
      </c>
      <c r="I48" s="92">
        <f t="shared" ref="I48:I49" si="20">T48</f>
        <v>2.6900000000000004</v>
      </c>
      <c r="J48" s="92">
        <f t="shared" ref="J48:L49" si="21">Y48</f>
        <v>1.6199999999999999</v>
      </c>
      <c r="K48" s="114">
        <f>Z48</f>
        <v>0.2121320343559642</v>
      </c>
      <c r="L48" s="94">
        <f>AA48</f>
        <v>0.9200000000000006</v>
      </c>
      <c r="M48" s="95">
        <f t="shared" ref="M48:M49" si="22">AD48</f>
        <v>4</v>
      </c>
      <c r="N48" s="161">
        <f>BC48</f>
        <v>73.482186101282281</v>
      </c>
      <c r="O48" s="119">
        <f>N48*1.05</f>
        <v>77.156295406346402</v>
      </c>
      <c r="P48" s="120">
        <f>1.05*(V48+V49+AC48+AC49+AJ48+AJ49+AP48+AP49+AV48+AV49)</f>
        <v>60.255915406346389</v>
      </c>
      <c r="Q48" s="120">
        <f>1.05*(BA48+BA49)</f>
        <v>16.900380000000002</v>
      </c>
      <c r="R48" s="107">
        <f>$B$53</f>
        <v>3</v>
      </c>
      <c r="S48" s="93">
        <f>$C$53</f>
        <v>16</v>
      </c>
      <c r="T48" s="30">
        <f>(F48-G48*0.5-H48*0.5)*0.5+G48-0.085</f>
        <v>2.6900000000000004</v>
      </c>
      <c r="U48" s="31">
        <f>T48*R48</f>
        <v>8.07</v>
      </c>
      <c r="V48" s="32">
        <f>IF(S48=6,0.222,IF(S48=8,0.395,IF(S48=10,0.617,IF(S48=12,0.888,IF(S48=16,1.578,IF(S48=20,2.47,IF(S48=25,3.85,"NO CONT.")))))))*U48</f>
        <v>12.73446</v>
      </c>
      <c r="W48" s="107">
        <f>$B$52</f>
        <v>3</v>
      </c>
      <c r="X48" s="93">
        <f>$C$52</f>
        <v>16</v>
      </c>
      <c r="Y48" s="34">
        <f>G48+0.15-0.03</f>
        <v>1.6199999999999999</v>
      </c>
      <c r="Z48" s="114">
        <f>(AG48-AT48)*2/SQRT(2)</f>
        <v>0.2121320343559642</v>
      </c>
      <c r="AA48" s="30">
        <f>T48-Y48-Z48*SQRT(2)/2</f>
        <v>0.9200000000000006</v>
      </c>
      <c r="AB48" s="31">
        <f t="shared" ref="AB48:AB49" si="23">(Y48+Z48+AA48)*W48</f>
        <v>8.2563961030678943</v>
      </c>
      <c r="AC48" s="32">
        <f>IF(X48=6,0.222,IF(X48=8,0.395,IF(X48=10,0.617,IF(X48=12,0.888,IF(X48=16,1.578,IF(X48=20,2.47,IF(X48=25,3.85,"NO CONT.")))))))*AB48</f>
        <v>13.028593050641138</v>
      </c>
      <c r="AD48" s="110">
        <f>ROUNDUP((AA48-0.28)/$B$55,0)</f>
        <v>4</v>
      </c>
      <c r="AE48" s="111">
        <f>$B$54</f>
        <v>10</v>
      </c>
      <c r="AF48" s="93">
        <f>$B$46-$B$48*2</f>
        <v>0.35</v>
      </c>
      <c r="AG48" s="94">
        <f>$B$47-$B$49*2</f>
        <v>0.24999999999999997</v>
      </c>
      <c r="AH48" s="92">
        <f>$B$55</f>
        <v>0.2</v>
      </c>
      <c r="AI48" s="31">
        <f>(AF48*2+AG48*2+0.14)*AD48</f>
        <v>5.3599999999999994</v>
      </c>
      <c r="AJ48" s="32">
        <f>IF(AE48=6,0.222,IF(AE48=8,0.395,IF(AE48=10,0.617,IF(AE48=12,0.888,IF(AE48=16,1.578,IF(AE48=20,2.47,IF(AE48=25,3.85,"NO CONT.")))))))*AI48</f>
        <v>3.3071199999999994</v>
      </c>
      <c r="AK48" s="110">
        <v>2</v>
      </c>
      <c r="AL48" s="111">
        <f>$B$35</f>
        <v>10</v>
      </c>
      <c r="AM48" s="93">
        <f>$B$46-$B$48*2</f>
        <v>0.35</v>
      </c>
      <c r="AN48" s="94">
        <f>$B$47-$B$49*2</f>
        <v>0.24999999999999997</v>
      </c>
      <c r="AO48" s="31">
        <f>(AM48*2+AN48*2+0.14)*AK48</f>
        <v>2.6799999999999997</v>
      </c>
      <c r="AP48" s="32">
        <f>IF(AL48=6,0.222,IF(AL48=8,0.395,IF(AL48=10,0.617,IF(AL48=12,0.888,IF(AL48=16,1.578,IF(AL48=20,2.47,IF(AL48=25,3.85,"NO CONT.")))))))*AO48</f>
        <v>1.6535599999999997</v>
      </c>
      <c r="AQ48" s="110">
        <v>2</v>
      </c>
      <c r="AR48" s="111">
        <f>$B$54</f>
        <v>10</v>
      </c>
      <c r="AS48" s="93">
        <f>$B$46-$B$48*2</f>
        <v>0.35</v>
      </c>
      <c r="AT48" s="94">
        <f>$B$57-$B$59*2</f>
        <v>0.1</v>
      </c>
      <c r="AU48" s="31">
        <f>(AS48*2+AT48*2+0.14)*AQ48</f>
        <v>2.08</v>
      </c>
      <c r="AV48" s="33">
        <f>IF(AR48=6,0.222,IF(AR48=8,0.395,IF(AR48=10,0.617,IF(AR48=12,0.888,IF(AR48=16,1.578,IF(AR48=20,2.47,IF(AR48=25,3.85,"NO CONT.")))))))*AU48</f>
        <v>1.2833600000000001</v>
      </c>
      <c r="AW48" s="110">
        <f>B52</f>
        <v>3</v>
      </c>
      <c r="AX48" s="111">
        <f>$C$52</f>
        <v>16</v>
      </c>
      <c r="AY48">
        <v>1.7</v>
      </c>
      <c r="AZ48" s="31">
        <f>AY48*AW48</f>
        <v>5.0999999999999996</v>
      </c>
      <c r="BA48" s="32">
        <f>IF(AX48=6,0.222,IF(AX48=8,0.395,IF(AX48=10,0.617,IF(AX48=12,0.888,IF(AX48=16,1.578,IF(AX48=20,2.47,IF(AX48=25,3.85,"NO CONT.")))))))*AZ48</f>
        <v>8.0478000000000005</v>
      </c>
      <c r="BB48" s="45">
        <f>BA48+AV48+AP48+AJ48+AC48+V48</f>
        <v>40.054893050641134</v>
      </c>
      <c r="BC48" s="149">
        <f>BB48+BB49</f>
        <v>73.482186101282281</v>
      </c>
    </row>
    <row r="49" spans="1:58" ht="15" customHeight="1" x14ac:dyDescent="0.3">
      <c r="A49" s="3" t="s">
        <v>44</v>
      </c>
      <c r="B49" s="57">
        <v>0.05</v>
      </c>
      <c r="C49" s="5" t="s">
        <v>11</v>
      </c>
      <c r="D49" s="3"/>
      <c r="E49" s="56"/>
      <c r="F49" s="154"/>
      <c r="G49" s="156"/>
      <c r="H49" s="158"/>
      <c r="I49" s="96">
        <f t="shared" si="20"/>
        <v>1.9900000000000002</v>
      </c>
      <c r="J49" s="96">
        <f t="shared" si="21"/>
        <v>0.92</v>
      </c>
      <c r="K49" s="116">
        <f t="shared" si="21"/>
        <v>0.2121320343559642</v>
      </c>
      <c r="L49" s="97">
        <f t="shared" si="21"/>
        <v>0.92000000000000037</v>
      </c>
      <c r="M49" s="98">
        <f t="shared" si="22"/>
        <v>4</v>
      </c>
      <c r="N49" s="162"/>
      <c r="R49" s="108">
        <f>$B$53</f>
        <v>3</v>
      </c>
      <c r="S49" s="109">
        <f>$C$53</f>
        <v>16</v>
      </c>
      <c r="T49" s="36">
        <f>(F48-G48*0.5-H48*0.5)*0.5+H48-0.085</f>
        <v>1.9900000000000002</v>
      </c>
      <c r="U49" s="37">
        <f t="shared" ref="U49" si="24">T49*R49</f>
        <v>5.9700000000000006</v>
      </c>
      <c r="V49" s="38">
        <f>IF(S49=6,0.222,IF(S49=8,0.395,IF(S49=10,0.617,IF(S49=12,0.888,IF(S49=16,1.578,IF(S49=20,2.47,IF(S49=25,3.85,"NO CONT.")))))))*U49</f>
        <v>9.4206600000000016</v>
      </c>
      <c r="W49" s="108">
        <f>$B$52</f>
        <v>3</v>
      </c>
      <c r="X49" s="109">
        <f>$C$52</f>
        <v>16</v>
      </c>
      <c r="Y49" s="40">
        <f>H48+0.15-0.03</f>
        <v>0.92</v>
      </c>
      <c r="Z49" s="114">
        <f>(AG49-AT49)*2/SQRT(2)</f>
        <v>0.2121320343559642</v>
      </c>
      <c r="AA49" s="36">
        <f t="shared" ref="AA49" si="25">T49-Y49-Z49*SQRT(2)/2</f>
        <v>0.92000000000000037</v>
      </c>
      <c r="AB49" s="37">
        <f t="shared" si="23"/>
        <v>6.1563961030678938</v>
      </c>
      <c r="AC49" s="38">
        <f>IF(X49=6,0.222,IF(X49=8,0.395,IF(X49=10,0.617,IF(X49=12,0.888,IF(X49=16,1.578,IF(X49=20,2.47,IF(X49=25,3.85,"NO CONT.")))))))*AB49</f>
        <v>9.714793050641136</v>
      </c>
      <c r="AD49" s="89">
        <f>ROUNDUP((AA49-0.28)/$B$55,0)</f>
        <v>4</v>
      </c>
      <c r="AE49" s="90">
        <f>$B$54</f>
        <v>10</v>
      </c>
      <c r="AF49" s="109">
        <f>$B$46-$B$48*2</f>
        <v>0.35</v>
      </c>
      <c r="AG49" s="112">
        <f>$B$47-$B$49*2</f>
        <v>0.24999999999999997</v>
      </c>
      <c r="AH49" s="123">
        <f>$B$55</f>
        <v>0.2</v>
      </c>
      <c r="AI49" s="37">
        <f t="shared" ref="AI49" si="26">(AF49*2+AG49*2+0.14)*AD49</f>
        <v>5.3599999999999994</v>
      </c>
      <c r="AJ49" s="38">
        <f>IF(AE49=6,0.222,IF(AE49=8,0.395,IF(AE49=10,0.617,IF(AE49=12,0.888,IF(AE49=16,1.578,IF(AE49=20,2.47,IF(AE49=25,3.85,"NO CONT.")))))))*AI49</f>
        <v>3.3071199999999994</v>
      </c>
      <c r="AK49" s="89">
        <v>2</v>
      </c>
      <c r="AL49" s="90">
        <f>$B$35</f>
        <v>10</v>
      </c>
      <c r="AM49" s="109">
        <f>$B$46-$B$48*2</f>
        <v>0.35</v>
      </c>
      <c r="AN49" s="112">
        <f>$B$47-$B$49*2</f>
        <v>0.24999999999999997</v>
      </c>
      <c r="AO49" s="37">
        <f t="shared" ref="AO49" si="27">(AM49*2+AN49*2+0.14)*AK49</f>
        <v>2.6799999999999997</v>
      </c>
      <c r="AP49" s="38">
        <f>IF(AL49=6,0.222,IF(AL49=8,0.395,IF(AL49=10,0.617,IF(AL49=12,0.888,IF(AL49=16,1.578,IF(AL49=20,2.47,IF(AL49=25,3.85,"NO CONT.")))))))*AO49</f>
        <v>1.6535599999999997</v>
      </c>
      <c r="AQ49" s="89">
        <v>2</v>
      </c>
      <c r="AR49" s="90">
        <f>$B$54</f>
        <v>10</v>
      </c>
      <c r="AS49" s="109">
        <f>$B$46-$B$48*2</f>
        <v>0.35</v>
      </c>
      <c r="AT49" s="112">
        <f>$B$57-$B$59*2</f>
        <v>0.1</v>
      </c>
      <c r="AU49" s="37">
        <f t="shared" ref="AU49" si="28">(AS49*2+AT49*2+0.14)*AQ49</f>
        <v>2.08</v>
      </c>
      <c r="AV49" s="39">
        <f>IF(AR49=6,0.222,IF(AR49=8,0.395,IF(AR49=10,0.617,IF(AR49=12,0.888,IF(AR49=16,1.578,IF(AR49=20,2.47,IF(AR49=25,3.85,"NO CONT.")))))))*AU49</f>
        <v>1.2833600000000001</v>
      </c>
      <c r="AW49" s="118">
        <f>B53</f>
        <v>3</v>
      </c>
      <c r="AX49" s="99">
        <f>$C$53</f>
        <v>16</v>
      </c>
      <c r="AY49">
        <v>1.7</v>
      </c>
      <c r="AZ49" s="46">
        <f t="shared" ref="AZ49" si="29">AY49*AW49</f>
        <v>5.0999999999999996</v>
      </c>
      <c r="BA49" s="41">
        <f>IF(AX49=6,0.222,IF(AX49=8,0.395,IF(AX49=10,0.617,IF(AX49=12,0.888,IF(AX49=16,1.578,IF(AX49=20,2.47,IF(AX49=25,3.85,"NO CONT.")))))))*AZ49</f>
        <v>8.0478000000000005</v>
      </c>
      <c r="BB49" s="35">
        <f>BA49+AV49+AP49+AJ49+AC49+V49</f>
        <v>33.42729305064114</v>
      </c>
      <c r="BC49" s="150"/>
    </row>
    <row r="50" spans="1:58" ht="60" customHeight="1" x14ac:dyDescent="0.3">
      <c r="A50" s="3" t="s">
        <v>92</v>
      </c>
      <c r="B50" s="4">
        <v>0.05</v>
      </c>
      <c r="C50" s="5"/>
      <c r="D50" s="3"/>
      <c r="E50"/>
      <c r="F50"/>
      <c r="G50"/>
      <c r="H50"/>
      <c r="I50"/>
      <c r="J50"/>
      <c r="K50" s="117" t="s">
        <v>45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s="133"/>
      <c r="BD50"/>
      <c r="BE50"/>
      <c r="BF50"/>
    </row>
    <row r="51" spans="1:58" ht="15" customHeight="1" x14ac:dyDescent="0.3">
      <c r="A51" s="18" t="s">
        <v>46</v>
      </c>
      <c r="C51" s="5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 s="134" t="s">
        <v>47</v>
      </c>
      <c r="U51" s="134"/>
      <c r="V51" s="134"/>
      <c r="W51" s="134"/>
      <c r="X51" s="134"/>
      <c r="Y51" s="134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 s="133"/>
      <c r="BD51"/>
      <c r="BE51"/>
      <c r="BF51"/>
    </row>
    <row r="52" spans="1:58" ht="15" customHeight="1" x14ac:dyDescent="0.3">
      <c r="A52" s="3" t="s">
        <v>48</v>
      </c>
      <c r="B52" s="102">
        <v>3</v>
      </c>
      <c r="C52" s="103">
        <v>16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 s="135" t="s">
        <v>69</v>
      </c>
      <c r="U52" s="135"/>
      <c r="V52" s="135"/>
      <c r="W52" s="135" t="s">
        <v>51</v>
      </c>
      <c r="X52" s="135"/>
      <c r="Y52" s="135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s="133"/>
      <c r="BD52"/>
      <c r="BE52"/>
      <c r="BF52"/>
    </row>
    <row r="53" spans="1:58" ht="15" customHeight="1" x14ac:dyDescent="0.3">
      <c r="A53" s="3" t="s">
        <v>52</v>
      </c>
      <c r="B53" s="102">
        <f>B52</f>
        <v>3</v>
      </c>
      <c r="C53" s="103">
        <f>C52</f>
        <v>16</v>
      </c>
      <c r="D53" s="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 s="127" t="s">
        <v>53</v>
      </c>
      <c r="U53" s="127" t="s">
        <v>54</v>
      </c>
      <c r="V53" s="127" t="s">
        <v>55</v>
      </c>
      <c r="W53" s="127" t="s">
        <v>53</v>
      </c>
      <c r="X53" s="127" t="s">
        <v>54</v>
      </c>
      <c r="Y53" s="127" t="s">
        <v>55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 s="133"/>
      <c r="BD53"/>
      <c r="BE53"/>
      <c r="BF53"/>
    </row>
    <row r="54" spans="1:58" ht="15" customHeight="1" x14ac:dyDescent="0.3">
      <c r="A54" s="3" t="s">
        <v>56</v>
      </c>
      <c r="B54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 s="126" t="s">
        <v>84</v>
      </c>
      <c r="T54" s="122">
        <f>AS48+($B$49*2)</f>
        <v>0.44999999999999996</v>
      </c>
      <c r="U54" s="122">
        <f>AT48+($B$48*2)</f>
        <v>0.25</v>
      </c>
      <c r="V54" s="122">
        <f>J48+$B$50</f>
        <v>1.67</v>
      </c>
      <c r="W54" s="122">
        <f>AF48+($B$49*2)</f>
        <v>0.44999999999999996</v>
      </c>
      <c r="X54" s="122">
        <f>AG48+($B$48*2)</f>
        <v>0.39999999999999997</v>
      </c>
      <c r="Y54" s="122">
        <f>I48-J48+$B$50</f>
        <v>1.1200000000000006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 s="133"/>
      <c r="BD54"/>
      <c r="BE54"/>
      <c r="BF54"/>
    </row>
    <row r="55" spans="1:58" ht="15" customHeight="1" x14ac:dyDescent="0.3">
      <c r="A55" s="8" t="s">
        <v>58</v>
      </c>
      <c r="B55">
        <v>0.2</v>
      </c>
      <c r="C55" s="5" t="s">
        <v>11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 s="126" t="s">
        <v>85</v>
      </c>
      <c r="T55" s="122">
        <f>AS49+($B$49*2)</f>
        <v>0.44999999999999996</v>
      </c>
      <c r="U55" s="122">
        <f>AT49+($B$48*2)</f>
        <v>0.25</v>
      </c>
      <c r="V55" s="122">
        <f>J49+$B$50</f>
        <v>0.97000000000000008</v>
      </c>
      <c r="W55" s="122">
        <f>AF49+($B$49*2)</f>
        <v>0.44999999999999996</v>
      </c>
      <c r="X55" s="122">
        <f>AG49+($B$48*2)</f>
        <v>0.39999999999999997</v>
      </c>
      <c r="Y55" s="122">
        <f>I49-J49+$B$50</f>
        <v>1.1200000000000003</v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 s="133"/>
      <c r="BD55"/>
      <c r="BE55"/>
      <c r="BF55"/>
    </row>
    <row r="56" spans="1:58" ht="15" customHeight="1" x14ac:dyDescent="0.3">
      <c r="A56" s="10" t="s">
        <v>59</v>
      </c>
      <c r="B56" s="7"/>
      <c r="C56" s="8"/>
      <c r="D56" s="9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 s="133"/>
      <c r="BD56"/>
      <c r="BE56"/>
      <c r="BF56"/>
    </row>
    <row r="57" spans="1:58" ht="15" customHeight="1" x14ac:dyDescent="0.3">
      <c r="A57" s="3" t="s">
        <v>60</v>
      </c>
      <c r="B57" s="105">
        <v>0.2</v>
      </c>
      <c r="C57" s="52" t="s">
        <v>11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 s="133"/>
      <c r="BD57"/>
      <c r="BE57"/>
      <c r="BF57"/>
    </row>
    <row r="58" spans="1:58" ht="15" customHeight="1" x14ac:dyDescent="0.3">
      <c r="A58" s="3"/>
      <c r="B58" s="54" t="s">
        <v>61</v>
      </c>
      <c r="C58" s="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 s="133"/>
      <c r="BD58"/>
      <c r="BE58"/>
      <c r="BF58"/>
    </row>
    <row r="59" spans="1:58" ht="15" customHeight="1" x14ac:dyDescent="0.3">
      <c r="A59" s="3" t="s">
        <v>62</v>
      </c>
      <c r="B59">
        <v>0.05</v>
      </c>
      <c r="C59" s="5" t="s">
        <v>11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 s="133"/>
      <c r="BD59"/>
      <c r="BE59"/>
      <c r="BF59"/>
    </row>
    <row r="60" spans="1:58" ht="15" customHeight="1" x14ac:dyDescent="0.3">
      <c r="C60" s="17"/>
      <c r="I60" s="6"/>
      <c r="J60" s="6"/>
      <c r="K60" s="6"/>
      <c r="L60" s="6"/>
      <c r="M60" s="64" t="s">
        <v>63</v>
      </c>
      <c r="N60" s="6"/>
      <c r="R60" s="23"/>
      <c r="S60" s="23"/>
      <c r="T60" s="23"/>
      <c r="U60" s="23"/>
      <c r="V60" s="23"/>
      <c r="W60" s="23"/>
      <c r="X60" s="23"/>
      <c r="Y60" s="23"/>
      <c r="Z60" s="48"/>
      <c r="AA60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 spans="1:58" ht="15" customHeight="1" x14ac:dyDescent="0.3">
      <c r="I61" s="6"/>
      <c r="J61" s="6"/>
      <c r="K61" s="6"/>
      <c r="L61" s="6"/>
      <c r="M61" s="6"/>
      <c r="N61" s="6"/>
      <c r="R61" s="15"/>
      <c r="S61" s="15"/>
      <c r="T61" s="15"/>
      <c r="U61" s="15"/>
      <c r="V61" s="15"/>
      <c r="W61" s="15"/>
      <c r="X61" s="15"/>
      <c r="Y61" s="15"/>
      <c r="Z61" s="15"/>
      <c r="AA61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</row>
    <row r="62" spans="1:58" s="87" customFormat="1" ht="15" customHeight="1" x14ac:dyDescent="0.3">
      <c r="A62" s="85" t="s">
        <v>88</v>
      </c>
      <c r="B62" s="85"/>
      <c r="C62" s="85"/>
      <c r="D62" s="102"/>
      <c r="E62" s="102"/>
      <c r="F62" s="85" t="s">
        <v>74</v>
      </c>
      <c r="G62" s="85" t="s">
        <v>75</v>
      </c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6"/>
      <c r="AA62" s="86"/>
      <c r="AB62" s="86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</row>
    <row r="63" spans="1:58" ht="15" customHeight="1" x14ac:dyDescent="0.3">
      <c r="A63" s="2" t="s">
        <v>7</v>
      </c>
      <c r="I63" s="6"/>
      <c r="J63" s="6"/>
      <c r="K63" s="6"/>
      <c r="L63" s="6"/>
      <c r="M63" s="6"/>
      <c r="N63" s="6"/>
      <c r="Z63" s="49"/>
      <c r="AA63" s="20"/>
      <c r="AB63" s="20"/>
    </row>
    <row r="64" spans="1:58" ht="15" customHeight="1" x14ac:dyDescent="0.3">
      <c r="A64" s="18" t="s">
        <v>8</v>
      </c>
      <c r="E64" s="18"/>
      <c r="H64" s="23"/>
      <c r="I64" s="6"/>
      <c r="J64" s="6"/>
      <c r="K64" s="6"/>
      <c r="L64" s="6"/>
      <c r="M64" s="6"/>
      <c r="N64" s="6"/>
      <c r="R64" s="165" t="s">
        <v>9</v>
      </c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24"/>
      <c r="BC64" s="5"/>
    </row>
    <row r="65" spans="1:58" ht="15" customHeight="1" x14ac:dyDescent="0.3">
      <c r="A65" s="3" t="s">
        <v>10</v>
      </c>
      <c r="B65" s="57">
        <v>0.45</v>
      </c>
      <c r="C65" s="5" t="s">
        <v>11</v>
      </c>
      <c r="E65" s="10"/>
      <c r="G65" s="6"/>
      <c r="I65" s="166" t="s">
        <v>76</v>
      </c>
      <c r="J65" s="167"/>
      <c r="K65" s="70" t="s">
        <v>14</v>
      </c>
      <c r="L65" s="65" t="s">
        <v>72</v>
      </c>
      <c r="R65" s="136" t="s">
        <v>12</v>
      </c>
      <c r="S65" s="137"/>
      <c r="T65" s="137"/>
      <c r="U65" s="137"/>
      <c r="V65" s="138"/>
      <c r="W65" s="136" t="s">
        <v>13</v>
      </c>
      <c r="X65" s="137"/>
      <c r="Y65" s="137"/>
      <c r="Z65" s="137"/>
      <c r="AA65" s="138"/>
      <c r="AB65" s="71"/>
      <c r="AC65" s="72"/>
      <c r="AD65" s="136" t="s">
        <v>16</v>
      </c>
      <c r="AE65" s="137"/>
      <c r="AF65" s="137"/>
      <c r="AG65" s="137"/>
      <c r="AH65" s="137"/>
      <c r="AI65" s="137"/>
      <c r="AJ65" s="138"/>
      <c r="AK65" s="136"/>
      <c r="AL65" s="137"/>
      <c r="AM65" s="137"/>
      <c r="AN65" s="137"/>
      <c r="AO65" s="137"/>
      <c r="AP65" s="138"/>
      <c r="AQ65" s="136" t="s">
        <v>18</v>
      </c>
      <c r="AR65" s="137"/>
      <c r="AS65" s="137"/>
      <c r="AT65" s="137"/>
      <c r="AU65" s="137"/>
      <c r="AV65" s="137"/>
      <c r="AW65" s="136" t="s">
        <v>19</v>
      </c>
      <c r="AX65" s="137"/>
      <c r="AY65" s="137"/>
      <c r="AZ65" s="137"/>
      <c r="BA65" s="138"/>
      <c r="BB65" s="25" t="s">
        <v>20</v>
      </c>
      <c r="BC65" s="5"/>
    </row>
    <row r="66" spans="1:58" ht="15" customHeight="1" x14ac:dyDescent="0.3">
      <c r="A66" s="3" t="s">
        <v>21</v>
      </c>
      <c r="B66" s="57">
        <f>B76</f>
        <v>0.2</v>
      </c>
      <c r="C66" s="5" t="s">
        <v>11</v>
      </c>
      <c r="E66" s="11" t="s">
        <v>22</v>
      </c>
      <c r="F66" s="12" t="s">
        <v>65</v>
      </c>
      <c r="G66" s="13" t="s">
        <v>66</v>
      </c>
      <c r="H66" s="13" t="s">
        <v>67</v>
      </c>
      <c r="I66" s="89" t="s">
        <v>26</v>
      </c>
      <c r="J66" s="91" t="s">
        <v>27</v>
      </c>
      <c r="K66" s="90" t="s">
        <v>30</v>
      </c>
      <c r="L66" s="66" t="s">
        <v>73</v>
      </c>
      <c r="M66" s="88" t="s">
        <v>32</v>
      </c>
      <c r="N66" s="88" t="s">
        <v>33</v>
      </c>
      <c r="O66" s="88" t="s">
        <v>34</v>
      </c>
      <c r="R66" s="89" t="s">
        <v>35</v>
      </c>
      <c r="S66" s="90" t="s">
        <v>36</v>
      </c>
      <c r="T66" s="27" t="s">
        <v>26</v>
      </c>
      <c r="U66" s="28" t="s">
        <v>37</v>
      </c>
      <c r="V66" s="28" t="s">
        <v>31</v>
      </c>
      <c r="W66" s="89" t="s">
        <v>35</v>
      </c>
      <c r="X66" s="90" t="s">
        <v>36</v>
      </c>
      <c r="Y66" s="28" t="s">
        <v>26</v>
      </c>
      <c r="Z66" s="28" t="s">
        <v>37</v>
      </c>
      <c r="AA66" s="27" t="s">
        <v>31</v>
      </c>
      <c r="AB66" s="151" t="s">
        <v>27</v>
      </c>
      <c r="AC66" s="152"/>
      <c r="AD66" s="89" t="s">
        <v>35</v>
      </c>
      <c r="AE66" s="90" t="s">
        <v>36</v>
      </c>
      <c r="AF66" s="90" t="s">
        <v>38</v>
      </c>
      <c r="AG66" s="91" t="s">
        <v>39</v>
      </c>
      <c r="AH66" s="90" t="s">
        <v>40</v>
      </c>
      <c r="AI66" s="28" t="s">
        <v>37</v>
      </c>
      <c r="AJ66" s="28" t="s">
        <v>31</v>
      </c>
      <c r="AK66" s="26"/>
      <c r="AL66" s="28"/>
      <c r="AM66" s="28"/>
      <c r="AN66" s="28"/>
      <c r="AO66" s="28"/>
      <c r="AP66" s="27"/>
      <c r="AQ66" s="89" t="s">
        <v>35</v>
      </c>
      <c r="AR66" s="90" t="s">
        <v>36</v>
      </c>
      <c r="AS66" s="90" t="s">
        <v>38</v>
      </c>
      <c r="AT66" s="91" t="s">
        <v>39</v>
      </c>
      <c r="AU66" s="28" t="s">
        <v>37</v>
      </c>
      <c r="AV66" s="28" t="s">
        <v>31</v>
      </c>
      <c r="AW66" s="89" t="s">
        <v>35</v>
      </c>
      <c r="AX66" s="90" t="s">
        <v>36</v>
      </c>
      <c r="AY66" t="s">
        <v>41</v>
      </c>
      <c r="AZ66" s="28" t="s">
        <v>37</v>
      </c>
      <c r="BA66" s="27" t="s">
        <v>31</v>
      </c>
      <c r="BB66" s="73" t="s">
        <v>42</v>
      </c>
      <c r="BC66" s="5"/>
    </row>
    <row r="67" spans="1:58" ht="15" customHeight="1" x14ac:dyDescent="0.3">
      <c r="A67" s="3" t="s">
        <v>43</v>
      </c>
      <c r="B67" s="4">
        <v>7.4999999999999997E-2</v>
      </c>
      <c r="C67" s="5" t="s">
        <v>11</v>
      </c>
      <c r="D67" s="3"/>
      <c r="E67" s="55"/>
      <c r="F67" s="153">
        <v>2.9</v>
      </c>
      <c r="G67" s="155">
        <v>1.5</v>
      </c>
      <c r="H67" s="157">
        <v>0.8</v>
      </c>
      <c r="I67" s="92">
        <f t="shared" ref="I67:I68" si="30">T67</f>
        <v>2.29</v>
      </c>
      <c r="J67" s="94">
        <f t="shared" ref="J67:J68" si="31">AB67</f>
        <v>1.47</v>
      </c>
      <c r="K67" s="95">
        <f t="shared" ref="K67:K68" si="32">AD67</f>
        <v>3</v>
      </c>
      <c r="L67" s="161">
        <f>BC67</f>
        <v>65.4482</v>
      </c>
      <c r="M67" s="119">
        <f>L67*1.05</f>
        <v>68.720610000000008</v>
      </c>
      <c r="N67" s="120">
        <f>1.05*(V67+V68+AA67+AA68+AJ67+AJ68+AV67+AV68)</f>
        <v>44.662421999999992</v>
      </c>
      <c r="O67" s="120">
        <f>1.05*(BA67+BA68)</f>
        <v>24.058188000000001</v>
      </c>
      <c r="R67" s="107">
        <f>$B$72</f>
        <v>3</v>
      </c>
      <c r="S67" s="93">
        <f>$C$72</f>
        <v>16</v>
      </c>
      <c r="T67" s="30">
        <f>(F67-G67*0.5-H67*0.5)*0.5+G67-0.085</f>
        <v>2.29</v>
      </c>
      <c r="U67" s="31">
        <f>T67*R67</f>
        <v>6.87</v>
      </c>
      <c r="V67" s="32">
        <f>IF(S67=6,0.222,IF(S67=8,0.395,IF(S67=10,0.617,IF(S67=12,0.888,IF(S67=16,1.578,IF(S67=20,2.47,IF(S67=25,3.85,"NO CONT.")))))))*U67</f>
        <v>10.840860000000001</v>
      </c>
      <c r="W67" s="107">
        <f>$B$71</f>
        <v>3</v>
      </c>
      <c r="X67" s="93">
        <f>$C$71</f>
        <v>16</v>
      </c>
      <c r="Y67" s="34">
        <f t="shared" ref="Y67:Y68" si="33">T67</f>
        <v>2.29</v>
      </c>
      <c r="Z67" s="31">
        <f t="shared" ref="Z67" si="34">(Y67)*W67</f>
        <v>6.87</v>
      </c>
      <c r="AA67" s="32">
        <f>IF(X67=6,0.222,IF(X67=8,0.395,IF(X67=10,0.617,IF(X67=12,0.888,IF(X67=16,1.578,IF(X67=20,2.47,IF(X67=25,3.85,"NO CONT.")))))))*Z67</f>
        <v>10.840860000000001</v>
      </c>
      <c r="AB67" s="145">
        <f>G67-0.03</f>
        <v>1.47</v>
      </c>
      <c r="AC67" s="147"/>
      <c r="AD67" s="110">
        <f>ROUNDUP((Y67-AB67-0.28)/$B$74,0)</f>
        <v>3</v>
      </c>
      <c r="AE67" s="111">
        <f>$B$73</f>
        <v>10</v>
      </c>
      <c r="AF67" s="93">
        <f>$B$65-$B$67*2</f>
        <v>0.30000000000000004</v>
      </c>
      <c r="AG67" s="94">
        <f>$B$66-$B$68*2</f>
        <v>0.1</v>
      </c>
      <c r="AH67" s="92">
        <f>$B$74</f>
        <v>0.2</v>
      </c>
      <c r="AI67" s="31">
        <f>(AF67*2+AG67*2+0.14)*AD67</f>
        <v>2.8200000000000003</v>
      </c>
      <c r="AJ67" s="32">
        <f>IF(AE67=6,0.222,IF(AE67=8,0.395,IF(AE67=10,0.617,IF(AE67=12,0.888,IF(AE67=16,1.578,IF(AE67=20,2.47,IF(AE67=25,3.85,"NO CONT.")))))))*AI67</f>
        <v>1.7399400000000003</v>
      </c>
      <c r="AK67" s="77"/>
      <c r="AL67" s="76"/>
      <c r="AM67" s="33"/>
      <c r="AN67" s="33"/>
      <c r="AO67" s="33"/>
      <c r="AP67" s="32"/>
      <c r="AQ67" s="110">
        <v>2</v>
      </c>
      <c r="AR67" s="111">
        <f>$B$73</f>
        <v>10</v>
      </c>
      <c r="AS67" s="93">
        <f>$B$65-$B$67*2</f>
        <v>0.30000000000000004</v>
      </c>
      <c r="AT67" s="94">
        <f>$B$76-$B$78*2</f>
        <v>0.1</v>
      </c>
      <c r="AU67" s="31">
        <f>(AS67*2+AT67*2+0.14)*AQ67</f>
        <v>1.8800000000000001</v>
      </c>
      <c r="AV67" s="33">
        <f>IF(AR67=6,0.222,IF(AR67=8,0.395,IF(AR67=10,0.617,IF(AR67=12,0.888,IF(AR67=16,1.578,IF(AR67=20,2.47,IF(AR67=25,3.85,"NO CONT.")))))))*AU67</f>
        <v>1.1599600000000001</v>
      </c>
      <c r="AW67" s="110">
        <f>B71</f>
        <v>3</v>
      </c>
      <c r="AX67" s="111">
        <f>$C$72</f>
        <v>16</v>
      </c>
      <c r="AY67">
        <v>2.42</v>
      </c>
      <c r="AZ67" s="77">
        <f>AY67*AW67</f>
        <v>7.26</v>
      </c>
      <c r="BA67" s="32">
        <f>IF(AX67=6,0.222,IF(AX67=8,0.395,IF(AX67=10,0.617,IF(AX67=12,0.888,IF(AX67=16,1.578,IF(AX67=20,2.47,IF(AX67=25,3.85,"NO CONT.")))))))*AZ67</f>
        <v>11.45628</v>
      </c>
      <c r="BB67" s="45">
        <f>BA67+AV67+AJ67+AA67+V67</f>
        <v>36.0379</v>
      </c>
      <c r="BC67" s="149">
        <f>BB67+BB68</f>
        <v>65.4482</v>
      </c>
    </row>
    <row r="68" spans="1:58" ht="15" customHeight="1" x14ac:dyDescent="0.3">
      <c r="A68" s="3" t="s">
        <v>44</v>
      </c>
      <c r="B68" s="57">
        <v>0.05</v>
      </c>
      <c r="C68" s="5" t="s">
        <v>11</v>
      </c>
      <c r="D68" s="3"/>
      <c r="E68" s="56"/>
      <c r="F68" s="154"/>
      <c r="G68" s="156"/>
      <c r="H68" s="158"/>
      <c r="I68" s="96">
        <f t="shared" si="30"/>
        <v>1.59</v>
      </c>
      <c r="J68" s="97">
        <f t="shared" si="31"/>
        <v>0.77</v>
      </c>
      <c r="K68" s="98">
        <f t="shared" si="32"/>
        <v>3</v>
      </c>
      <c r="L68" s="162"/>
      <c r="R68" s="108">
        <f>$B$72</f>
        <v>3</v>
      </c>
      <c r="S68" s="109">
        <f>$C$72</f>
        <v>16</v>
      </c>
      <c r="T68" s="36">
        <f>(F67-G67*0.5-H67*0.5)*0.5+H67-0.085</f>
        <v>1.59</v>
      </c>
      <c r="U68" s="37">
        <f t="shared" ref="U68" si="35">T68*R68</f>
        <v>4.7700000000000005</v>
      </c>
      <c r="V68" s="38">
        <f>IF(S68=6,0.222,IF(S68=8,0.395,IF(S68=10,0.617,IF(S68=12,0.888,IF(S68=16,1.578,IF(S68=20,2.47,IF(S68=25,3.85,"NO CONT.")))))))*U68</f>
        <v>7.5270600000000014</v>
      </c>
      <c r="W68" s="108">
        <f>$B$71</f>
        <v>3</v>
      </c>
      <c r="X68" s="109">
        <f>$C$71</f>
        <v>16</v>
      </c>
      <c r="Y68" s="40">
        <f t="shared" si="33"/>
        <v>1.59</v>
      </c>
      <c r="Z68" s="37">
        <f>(Y68)*W69</f>
        <v>4.7700000000000005</v>
      </c>
      <c r="AA68" s="38">
        <f>IF(X68=6,0.222,IF(X68=8,0.395,IF(X68=10,0.617,IF(X68=12,0.888,IF(X68=16,1.578,IF(X68=20,2.47,IF(X68=25,3.85,"NO CONT.")))))))*Z68</f>
        <v>7.5270600000000014</v>
      </c>
      <c r="AB68" s="163">
        <f>H67-0.03</f>
        <v>0.77</v>
      </c>
      <c r="AC68" s="164"/>
      <c r="AD68" s="89">
        <f>ROUNDUP((Y68-AB68-0.28)/$B$74,0)</f>
        <v>3</v>
      </c>
      <c r="AE68" s="90">
        <f>$B$73</f>
        <v>10</v>
      </c>
      <c r="AF68" s="109">
        <f>$B$65-$B$67*2</f>
        <v>0.30000000000000004</v>
      </c>
      <c r="AG68" s="112">
        <f>$B$66-$B$68*2</f>
        <v>0.1</v>
      </c>
      <c r="AH68" s="123">
        <f>$B$74</f>
        <v>0.2</v>
      </c>
      <c r="AI68" s="37">
        <f t="shared" ref="AI68" si="36">(AF68*2+AG68*2+0.14)*AD68</f>
        <v>2.8200000000000003</v>
      </c>
      <c r="AJ68" s="38">
        <f>IF(AE68=6,0.222,IF(AE68=8,0.395,IF(AE68=10,0.617,IF(AE68=12,0.888,IF(AE68=16,1.578,IF(AE68=20,2.47,IF(AE68=25,3.85,"NO CONT.")))))))*AI68</f>
        <v>1.7399400000000003</v>
      </c>
      <c r="AK68" s="79"/>
      <c r="AL68" s="78"/>
      <c r="AM68" s="39"/>
      <c r="AN68" s="39"/>
      <c r="AO68" s="39"/>
      <c r="AP68" s="38"/>
      <c r="AQ68" s="89">
        <v>2</v>
      </c>
      <c r="AR68" s="90">
        <f>$B$73</f>
        <v>10</v>
      </c>
      <c r="AS68" s="109">
        <f>$B$65-$B$67*2</f>
        <v>0.30000000000000004</v>
      </c>
      <c r="AT68" s="112">
        <f>$B$76-$B$78*2</f>
        <v>0.1</v>
      </c>
      <c r="AU68" s="37">
        <f t="shared" ref="AU68" si="37">(AS68*2+AT68*2+0.14)*AQ68</f>
        <v>1.8800000000000001</v>
      </c>
      <c r="AV68" s="39">
        <f>IF(AR68=6,0.222,IF(AR68=8,0.395,IF(AR68=10,0.617,IF(AR68=12,0.888,IF(AR68=16,1.578,IF(AR68=20,2.47,IF(AR68=25,3.85,"NO CONT.")))))))*AU68</f>
        <v>1.1599600000000001</v>
      </c>
      <c r="AW68" s="118">
        <f>B72</f>
        <v>3</v>
      </c>
      <c r="AX68" s="99">
        <f>$C$71</f>
        <v>16</v>
      </c>
      <c r="AY68">
        <v>2.42</v>
      </c>
      <c r="AZ68" s="80">
        <f t="shared" ref="AZ68" si="38">AY68*AW68</f>
        <v>7.26</v>
      </c>
      <c r="BA68" s="41">
        <f>IF(AX68=6,0.222,IF(AX68=8,0.395,IF(AX68=10,0.617,IF(AX68=12,0.888,IF(AX68=16,1.578,IF(AX68=20,2.47,IF(AX68=25,3.85,"NO CONT.")))))))*AZ68</f>
        <v>11.45628</v>
      </c>
      <c r="BB68" s="47">
        <f>BA68+AV68+AJ68+AA68+V68</f>
        <v>29.410300000000003</v>
      </c>
      <c r="BC68" s="150"/>
    </row>
    <row r="69" spans="1:58" ht="15" customHeight="1" x14ac:dyDescent="0.3">
      <c r="A69" s="3" t="s">
        <v>92</v>
      </c>
      <c r="B69" s="4">
        <v>0.05</v>
      </c>
      <c r="C69" s="5"/>
      <c r="D69" s="3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 s="108">
        <f>$B$71</f>
        <v>3</v>
      </c>
      <c r="X69"/>
      <c r="Y69"/>
      <c r="Z69"/>
      <c r="AA69"/>
      <c r="AB69" s="133"/>
      <c r="AC69" s="133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s="133"/>
      <c r="BD69"/>
      <c r="BE69"/>
      <c r="BF69"/>
    </row>
    <row r="70" spans="1:58" ht="15" customHeight="1" x14ac:dyDescent="0.3">
      <c r="A70" s="18" t="s">
        <v>46</v>
      </c>
      <c r="C70" s="5"/>
      <c r="E70"/>
      <c r="F70"/>
      <c r="G70"/>
      <c r="H70"/>
      <c r="I70"/>
      <c r="J70"/>
      <c r="K70"/>
      <c r="L70"/>
      <c r="M70" s="132"/>
      <c r="N70"/>
      <c r="O70"/>
      <c r="P70"/>
      <c r="Q70"/>
      <c r="R70"/>
      <c r="S70"/>
      <c r="T70" s="134" t="s">
        <v>47</v>
      </c>
      <c r="U70" s="134"/>
      <c r="V70" s="134"/>
      <c r="W70" s="134"/>
      <c r="X70" s="134"/>
      <c r="Y70" s="134"/>
      <c r="Z70"/>
      <c r="AA70"/>
      <c r="AB70" s="133"/>
      <c r="AC70" s="133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 s="133"/>
      <c r="BD70"/>
      <c r="BE70"/>
      <c r="BF70"/>
    </row>
    <row r="71" spans="1:58" ht="15" customHeight="1" x14ac:dyDescent="0.3">
      <c r="A71" s="3" t="s">
        <v>48</v>
      </c>
      <c r="B71" s="102">
        <v>3</v>
      </c>
      <c r="C71" s="103">
        <v>16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 s="135" t="s">
        <v>69</v>
      </c>
      <c r="U71" s="135"/>
      <c r="V71" s="135"/>
      <c r="W71" s="135" t="s">
        <v>51</v>
      </c>
      <c r="X71" s="135"/>
      <c r="Y71" s="135"/>
      <c r="Z71"/>
      <c r="AA71"/>
      <c r="AB71" s="133"/>
      <c r="AC71" s="133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 s="133"/>
      <c r="BD71"/>
      <c r="BE71"/>
      <c r="BF71"/>
    </row>
    <row r="72" spans="1:58" ht="15" customHeight="1" x14ac:dyDescent="0.3">
      <c r="A72" s="3" t="s">
        <v>52</v>
      </c>
      <c r="B72" s="102">
        <f>B71</f>
        <v>3</v>
      </c>
      <c r="C72" s="103">
        <f>C71</f>
        <v>16</v>
      </c>
      <c r="D72" s="53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 s="127" t="s">
        <v>53</v>
      </c>
      <c r="U72" s="127" t="s">
        <v>54</v>
      </c>
      <c r="V72" s="127" t="s">
        <v>55</v>
      </c>
      <c r="W72" s="127" t="s">
        <v>53</v>
      </c>
      <c r="X72" s="127" t="s">
        <v>54</v>
      </c>
      <c r="Y72" s="127" t="s">
        <v>55</v>
      </c>
      <c r="Z72"/>
      <c r="AA72"/>
      <c r="AB72" s="133"/>
      <c r="AC72" s="133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 s="133"/>
      <c r="BD72"/>
      <c r="BE72"/>
      <c r="BF72"/>
    </row>
    <row r="73" spans="1:58" ht="15" customHeight="1" x14ac:dyDescent="0.3">
      <c r="A73" s="3" t="s">
        <v>56</v>
      </c>
      <c r="B73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26" t="s">
        <v>84</v>
      </c>
      <c r="T73" s="122">
        <f>AS67+($B$68*2)</f>
        <v>0.4</v>
      </c>
      <c r="U73" s="122">
        <f>AT67+($B$67*2)</f>
        <v>0.25</v>
      </c>
      <c r="V73" s="122">
        <f>J67+$B$69</f>
        <v>1.52</v>
      </c>
      <c r="W73" s="122">
        <f>AF67+($B$68*2)</f>
        <v>0.4</v>
      </c>
      <c r="X73" s="122">
        <f>AG67+($B$67*2)</f>
        <v>0.25</v>
      </c>
      <c r="Y73" s="122">
        <f>I67-J67+$B$69</f>
        <v>0.87000000000000011</v>
      </c>
      <c r="Z73"/>
      <c r="AA73"/>
      <c r="AB73" s="133"/>
      <c r="AC73" s="13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 s="133"/>
      <c r="BD73"/>
      <c r="BE73"/>
      <c r="BF73"/>
    </row>
    <row r="74" spans="1:58" ht="15" customHeight="1" x14ac:dyDescent="0.3">
      <c r="A74" s="8" t="s">
        <v>58</v>
      </c>
      <c r="B74">
        <v>0.2</v>
      </c>
      <c r="C74" s="5" t="s">
        <v>11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26" t="s">
        <v>85</v>
      </c>
      <c r="T74" s="122">
        <f>AS68+($B$68*2)</f>
        <v>0.4</v>
      </c>
      <c r="U74" s="122">
        <f>AT68+($B$67*2)</f>
        <v>0.25</v>
      </c>
      <c r="V74" s="122">
        <f>J68+$B$69</f>
        <v>0.82000000000000006</v>
      </c>
      <c r="W74" s="122">
        <f>AF68+($B$68*2)</f>
        <v>0.4</v>
      </c>
      <c r="X74" s="122">
        <f>AG68+($B$67*2)</f>
        <v>0.25</v>
      </c>
      <c r="Y74" s="122">
        <f>I68-J68+$B$69</f>
        <v>0.87000000000000011</v>
      </c>
      <c r="Z74"/>
      <c r="AA74"/>
      <c r="AB74" s="133"/>
      <c r="AC74" s="133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 s="133"/>
      <c r="BD74"/>
      <c r="BE74"/>
      <c r="BF74"/>
    </row>
    <row r="75" spans="1:58" ht="15" customHeight="1" x14ac:dyDescent="0.3">
      <c r="A75" s="10" t="s">
        <v>59</v>
      </c>
      <c r="B75" s="7"/>
      <c r="C75" s="8"/>
      <c r="D75" s="9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 s="133"/>
      <c r="AC75" s="133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 s="133"/>
      <c r="BD75"/>
      <c r="BE75"/>
      <c r="BF75"/>
    </row>
    <row r="76" spans="1:58" ht="15" customHeight="1" x14ac:dyDescent="0.3">
      <c r="A76" s="3" t="s">
        <v>60</v>
      </c>
      <c r="B76" s="105">
        <v>0.2</v>
      </c>
      <c r="C76" s="52" t="s">
        <v>11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 s="133"/>
      <c r="AC76" s="133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 s="133"/>
      <c r="BD76"/>
      <c r="BE76"/>
      <c r="BF76"/>
    </row>
    <row r="77" spans="1:58" ht="15" customHeight="1" x14ac:dyDescent="0.3">
      <c r="A77" s="3"/>
      <c r="B77" s="54" t="s">
        <v>61</v>
      </c>
      <c r="C77" s="8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 s="133"/>
      <c r="AC77" s="133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 s="133"/>
      <c r="BD77"/>
      <c r="BE77"/>
      <c r="BF77"/>
    </row>
    <row r="78" spans="1:58" ht="15" customHeight="1" x14ac:dyDescent="0.3">
      <c r="A78" s="3" t="s">
        <v>62</v>
      </c>
      <c r="B78">
        <v>0.05</v>
      </c>
      <c r="C78" s="5" t="s">
        <v>11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 s="133"/>
      <c r="AC78" s="133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 s="133"/>
      <c r="BD78"/>
      <c r="BE78"/>
      <c r="BF78"/>
    </row>
    <row r="79" spans="1:58" ht="15" customHeight="1" x14ac:dyDescent="0.3">
      <c r="C79" s="17"/>
      <c r="K79" s="64" t="s">
        <v>63</v>
      </c>
      <c r="R79" s="23"/>
      <c r="S79" s="23"/>
      <c r="T79" s="23"/>
      <c r="U79" s="23"/>
      <c r="V79" s="23"/>
      <c r="W79" s="23"/>
      <c r="X79" s="23"/>
      <c r="Y79" s="23"/>
      <c r="Z79" s="48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 spans="1:58" ht="15" customHeight="1" x14ac:dyDescent="0.3"/>
    <row r="81" spans="1:58" s="87" customFormat="1" ht="15" customHeight="1" x14ac:dyDescent="0.3">
      <c r="A81" s="85" t="s">
        <v>89</v>
      </c>
      <c r="B81" s="85"/>
      <c r="C81" s="85"/>
      <c r="D81" s="102"/>
      <c r="E81" s="102"/>
      <c r="F81" s="85" t="s">
        <v>77</v>
      </c>
      <c r="G81" s="85"/>
      <c r="H81" s="85" t="s">
        <v>75</v>
      </c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6"/>
      <c r="AA81" s="86"/>
      <c r="AB81" s="86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</row>
    <row r="82" spans="1:58" ht="15" customHeight="1" x14ac:dyDescent="0.3">
      <c r="A82" s="2" t="s">
        <v>7</v>
      </c>
      <c r="I82" s="6"/>
      <c r="J82" s="6"/>
      <c r="K82" s="6"/>
      <c r="L82" s="6"/>
      <c r="M82" s="6"/>
      <c r="N82" s="6"/>
      <c r="Z82" s="49"/>
      <c r="AA82" s="20"/>
      <c r="AB82" s="20"/>
    </row>
    <row r="83" spans="1:58" ht="15" customHeight="1" x14ac:dyDescent="0.3">
      <c r="A83" s="18" t="s">
        <v>8</v>
      </c>
      <c r="E83" s="18"/>
      <c r="H83" s="82"/>
      <c r="I83" s="6"/>
      <c r="J83" s="6"/>
      <c r="K83" s="6"/>
      <c r="L83" s="6"/>
      <c r="M83" s="6"/>
      <c r="N83" s="6"/>
      <c r="R83" s="165" t="s">
        <v>9</v>
      </c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24"/>
      <c r="BC83" s="5"/>
    </row>
    <row r="84" spans="1:58" ht="15" customHeight="1" x14ac:dyDescent="0.3">
      <c r="A84" s="3" t="s">
        <v>10</v>
      </c>
      <c r="B84" s="57">
        <v>0.45</v>
      </c>
      <c r="C84" s="5" t="s">
        <v>11</v>
      </c>
      <c r="E84" s="10"/>
      <c r="G84" s="6"/>
      <c r="I84" s="166" t="s">
        <v>76</v>
      </c>
      <c r="J84" s="167"/>
      <c r="K84" s="166" t="s">
        <v>14</v>
      </c>
      <c r="L84" s="167"/>
      <c r="M84" s="83" t="s">
        <v>78</v>
      </c>
      <c r="N84" s="65" t="s">
        <v>72</v>
      </c>
      <c r="R84" s="136" t="s">
        <v>12</v>
      </c>
      <c r="S84" s="137"/>
      <c r="T84" s="137"/>
      <c r="U84" s="137"/>
      <c r="V84" s="138"/>
      <c r="W84" s="136" t="s">
        <v>13</v>
      </c>
      <c r="X84" s="137"/>
      <c r="Y84" s="137"/>
      <c r="Z84" s="137"/>
      <c r="AA84" s="138"/>
      <c r="AB84" s="71"/>
      <c r="AC84" s="72"/>
      <c r="AD84" s="136" t="s">
        <v>16</v>
      </c>
      <c r="AE84" s="137"/>
      <c r="AF84" s="137"/>
      <c r="AG84" s="137"/>
      <c r="AH84" s="137"/>
      <c r="AI84" s="137"/>
      <c r="AJ84" s="138"/>
      <c r="AK84" s="136" t="s">
        <v>78</v>
      </c>
      <c r="AL84" s="137"/>
      <c r="AM84" s="137"/>
      <c r="AN84" s="137"/>
      <c r="AO84" s="137"/>
      <c r="AP84" s="138"/>
      <c r="AQ84" s="136" t="s">
        <v>17</v>
      </c>
      <c r="AR84" s="137"/>
      <c r="AS84" s="137"/>
      <c r="AT84" s="137"/>
      <c r="AU84" s="137"/>
      <c r="AV84" s="138"/>
      <c r="AW84" s="136" t="s">
        <v>19</v>
      </c>
      <c r="AX84" s="137"/>
      <c r="AY84" s="137"/>
      <c r="AZ84" s="137"/>
      <c r="BA84" s="138"/>
      <c r="BB84" s="25" t="s">
        <v>20</v>
      </c>
      <c r="BC84" s="5"/>
    </row>
    <row r="85" spans="1:58" ht="15" customHeight="1" x14ac:dyDescent="0.3">
      <c r="A85" s="3" t="s">
        <v>21</v>
      </c>
      <c r="B85" s="57">
        <f>B95</f>
        <v>0.2</v>
      </c>
      <c r="C85" s="5" t="s">
        <v>11</v>
      </c>
      <c r="E85" s="11" t="s">
        <v>22</v>
      </c>
      <c r="F85" s="12" t="s">
        <v>65</v>
      </c>
      <c r="G85" s="13" t="s">
        <v>66</v>
      </c>
      <c r="H85" s="13" t="s">
        <v>67</v>
      </c>
      <c r="I85" s="89" t="s">
        <v>26</v>
      </c>
      <c r="J85" s="91" t="s">
        <v>27</v>
      </c>
      <c r="K85" s="89" t="s">
        <v>30</v>
      </c>
      <c r="L85" s="91" t="s">
        <v>90</v>
      </c>
      <c r="M85" s="89" t="s">
        <v>28</v>
      </c>
      <c r="N85" s="66" t="s">
        <v>73</v>
      </c>
      <c r="O85" s="88" t="s">
        <v>32</v>
      </c>
      <c r="P85" s="88" t="s">
        <v>33</v>
      </c>
      <c r="Q85" s="88" t="s">
        <v>34</v>
      </c>
      <c r="R85" s="89" t="s">
        <v>35</v>
      </c>
      <c r="S85" s="90" t="s">
        <v>36</v>
      </c>
      <c r="T85" s="27" t="s">
        <v>26</v>
      </c>
      <c r="U85" s="28" t="s">
        <v>37</v>
      </c>
      <c r="V85" s="28" t="s">
        <v>31</v>
      </c>
      <c r="W85" s="89" t="s">
        <v>35</v>
      </c>
      <c r="X85" s="90" t="s">
        <v>36</v>
      </c>
      <c r="Y85" s="28" t="s">
        <v>26</v>
      </c>
      <c r="Z85" s="28" t="s">
        <v>37</v>
      </c>
      <c r="AA85" s="27" t="s">
        <v>31</v>
      </c>
      <c r="AB85" s="151" t="s">
        <v>27</v>
      </c>
      <c r="AC85" s="152"/>
      <c r="AD85" s="89" t="s">
        <v>35</v>
      </c>
      <c r="AE85" s="90" t="s">
        <v>36</v>
      </c>
      <c r="AF85" s="90" t="s">
        <v>38</v>
      </c>
      <c r="AG85" s="91" t="s">
        <v>39</v>
      </c>
      <c r="AH85" s="90" t="s">
        <v>40</v>
      </c>
      <c r="AI85" s="28" t="s">
        <v>37</v>
      </c>
      <c r="AJ85" s="28" t="s">
        <v>31</v>
      </c>
      <c r="AK85" s="89" t="s">
        <v>35</v>
      </c>
      <c r="AL85" s="90" t="s">
        <v>36</v>
      </c>
      <c r="AM85" s="28" t="s">
        <v>28</v>
      </c>
      <c r="AO85" s="26" t="s">
        <v>37</v>
      </c>
      <c r="AP85" s="27" t="s">
        <v>31</v>
      </c>
      <c r="AQ85" s="89" t="s">
        <v>35</v>
      </c>
      <c r="AR85" s="90" t="s">
        <v>36</v>
      </c>
      <c r="AS85" s="90" t="s">
        <v>38</v>
      </c>
      <c r="AT85" s="91" t="s">
        <v>39</v>
      </c>
      <c r="AU85" s="28" t="s">
        <v>37</v>
      </c>
      <c r="AV85" s="27" t="s">
        <v>31</v>
      </c>
      <c r="AW85" s="89" t="s">
        <v>35</v>
      </c>
      <c r="AX85" s="90" t="s">
        <v>36</v>
      </c>
      <c r="AY85" t="s">
        <v>41</v>
      </c>
      <c r="AZ85" s="28" t="s">
        <v>37</v>
      </c>
      <c r="BA85" s="27" t="s">
        <v>31</v>
      </c>
      <c r="BB85" s="73" t="s">
        <v>42</v>
      </c>
      <c r="BC85" s="5"/>
    </row>
    <row r="86" spans="1:58" ht="15" customHeight="1" x14ac:dyDescent="0.3">
      <c r="A86" s="3" t="s">
        <v>43</v>
      </c>
      <c r="B86" s="4">
        <v>7.4999999999999997E-2</v>
      </c>
      <c r="C86" s="5" t="s">
        <v>11</v>
      </c>
      <c r="D86" s="3"/>
      <c r="E86" s="55"/>
      <c r="F86" s="153">
        <v>2.9</v>
      </c>
      <c r="G86" s="155">
        <v>1.5</v>
      </c>
      <c r="H86" s="157">
        <v>0.8</v>
      </c>
      <c r="I86" s="92">
        <f t="shared" ref="I86:I87" si="39">T86</f>
        <v>2.29</v>
      </c>
      <c r="J86" s="94">
        <f t="shared" ref="J86:J87" si="40">AB86</f>
        <v>1.47</v>
      </c>
      <c r="K86" s="107">
        <f t="shared" ref="K86:K87" si="41">AD86</f>
        <v>4</v>
      </c>
      <c r="L86" s="124">
        <f>AQ86</f>
        <v>3</v>
      </c>
      <c r="M86" s="159">
        <f>AM86</f>
        <v>1.65</v>
      </c>
      <c r="N86" s="161">
        <f>BC86</f>
        <v>80.723922000000002</v>
      </c>
      <c r="O86" s="119">
        <f>N86*1.05</f>
        <v>84.7601181</v>
      </c>
      <c r="P86" s="119">
        <f>1.05*(V86+V87+AA86+AA87+AJ86+AJ87+AJ92+AJ93+AV92+AV93+AV86+AV87)</f>
        <v>56.086550100000011</v>
      </c>
      <c r="Q86" s="119">
        <f>1.05*(BA86+BA87+AP86)</f>
        <v>28.673568</v>
      </c>
      <c r="R86" s="107">
        <f>$B$91</f>
        <v>3</v>
      </c>
      <c r="S86" s="93">
        <f>$C$91</f>
        <v>16</v>
      </c>
      <c r="T86" s="30">
        <f>0.5*(F86-G86*0.5-H86*0.5)+G86-0.085</f>
        <v>2.29</v>
      </c>
      <c r="U86" s="31">
        <f>T86*R86</f>
        <v>6.87</v>
      </c>
      <c r="V86" s="32">
        <f>IF(S86=6,0.222,IF(S86=8,0.395,IF(S86=10,0.617,IF(S86=12,0.888,IF(S86=16,1.578,IF(S86=20,2.47,IF(S86=25,3.85,"NO CONT.")))))))*U86</f>
        <v>10.840860000000001</v>
      </c>
      <c r="W86" s="107">
        <f>$B$90</f>
        <v>3</v>
      </c>
      <c r="X86" s="93">
        <f>$C$90</f>
        <v>16</v>
      </c>
      <c r="Y86" s="34">
        <f t="shared" ref="Y86:Y87" si="42">T86</f>
        <v>2.29</v>
      </c>
      <c r="Z86" s="31">
        <f t="shared" ref="Z86:Z87" si="43">(Y86)*W86</f>
        <v>6.87</v>
      </c>
      <c r="AA86" s="32">
        <f>IF(X86=6,0.222,IF(X86=8,0.395,IF(X86=10,0.617,IF(X86=12,0.888,IF(X86=16,1.578,IF(X86=20,2.47,IF(X86=25,3.85,"NO CONT.")))))))*Z86</f>
        <v>10.840860000000001</v>
      </c>
      <c r="AB86" s="145">
        <f>G86-0.03</f>
        <v>1.47</v>
      </c>
      <c r="AC86" s="147"/>
      <c r="AD86" s="110">
        <f>ROUNDUP((Y86-AB86-0.28)/$B$93,0)+1</f>
        <v>4</v>
      </c>
      <c r="AE86" s="111">
        <f>$B$92</f>
        <v>10</v>
      </c>
      <c r="AF86" s="93">
        <f>$B$84-$B$86*2</f>
        <v>0.30000000000000004</v>
      </c>
      <c r="AG86" s="94">
        <f>$B$85-$B$87*2</f>
        <v>0.1</v>
      </c>
      <c r="AH86" s="92">
        <f>$B$93</f>
        <v>0.2</v>
      </c>
      <c r="AI86" s="31">
        <f>(AF86*2+AG86*2+0.14)*AD86</f>
        <v>3.7600000000000002</v>
      </c>
      <c r="AJ86" s="32">
        <f>IF(AE86=6,0.222,IF(AE86=8,0.395,IF(AE86=10,0.617,IF(AE86=12,0.888,IF(AE86=16,1.578,IF(AE86=20,2.47,IF(AE86=25,3.85,"NO CONT.")))))))*AI86</f>
        <v>2.3199200000000002</v>
      </c>
      <c r="AK86" s="139">
        <v>3</v>
      </c>
      <c r="AL86" s="141">
        <v>12</v>
      </c>
      <c r="AM86" s="143">
        <f>F86-G86/2-H86/2-0.1</f>
        <v>1.65</v>
      </c>
      <c r="AN86" s="74"/>
      <c r="AO86" s="145">
        <f>(AM86)*AK86</f>
        <v>4.9499999999999993</v>
      </c>
      <c r="AP86" s="147">
        <f>IF(AL86=6,0.222,IF(AL86=8,0.395,IF(AL86=10,0.617,IF(AL86=12,0.888,IF(AL86=16,1.578,IF(AL86=20,2.47,IF(AL86=25,3.85,"NO CONT.")))))))*AO86</f>
        <v>4.3955999999999991</v>
      </c>
      <c r="AQ86" s="110">
        <f>ROUNDUP((Y86-AB86-0.28)/$B$93,0)</f>
        <v>3</v>
      </c>
      <c r="AR86" s="111">
        <f>$B$92</f>
        <v>10</v>
      </c>
      <c r="AS86" s="93">
        <f>$B$84-$B$86*2</f>
        <v>0.30000000000000004</v>
      </c>
      <c r="AT86" s="94">
        <f>$B$88-$B$87*2</f>
        <v>0.24999999999999997</v>
      </c>
      <c r="AU86" s="31">
        <f t="shared" ref="AU86:AU87" si="44">(AS86*2+AT86*2+0.14)*AQ86</f>
        <v>3.7200000000000006</v>
      </c>
      <c r="AV86" s="32">
        <f>IF(AR86=6,0.222,IF(AR86=8,0.395,IF(AR86=10,0.617,IF(AR86=12,0.888,IF(AR86=16,1.578,IF(AR86=20,2.47,IF(AR86=25,3.85,"NO CONT.")))))))*AU86</f>
        <v>2.2952400000000002</v>
      </c>
      <c r="AW86" s="110">
        <f>B90</f>
        <v>3</v>
      </c>
      <c r="AX86" s="111">
        <f>$C$91</f>
        <v>16</v>
      </c>
      <c r="AY86">
        <v>2.42</v>
      </c>
      <c r="AZ86" s="77">
        <f>AY86*AW86</f>
        <v>7.26</v>
      </c>
      <c r="BA86" s="32">
        <f>IF(AX86=6,0.222,IF(AX86=8,0.395,IF(AX86=10,0.617,IF(AX86=12,0.888,IF(AX86=16,1.578,IF(AX86=20,2.47,IF(AX86=25,3.85,"NO CONT.")))))))*AZ86</f>
        <v>11.45628</v>
      </c>
      <c r="BB86" s="45">
        <f>BA86+AJ92+AJ86+AA86+V86+AV92+AV86</f>
        <v>40.443280000000001</v>
      </c>
      <c r="BC86" s="149">
        <f>BB86+BB87+AP86</f>
        <v>80.723922000000002</v>
      </c>
    </row>
    <row r="87" spans="1:58" ht="15" customHeight="1" x14ac:dyDescent="0.3">
      <c r="A87" s="3" t="s">
        <v>44</v>
      </c>
      <c r="B87" s="57">
        <v>0.05</v>
      </c>
      <c r="C87" s="5" t="s">
        <v>11</v>
      </c>
      <c r="D87" s="3"/>
      <c r="E87" s="56"/>
      <c r="F87" s="154"/>
      <c r="G87" s="156"/>
      <c r="H87" s="158"/>
      <c r="I87" s="96">
        <f t="shared" si="39"/>
        <v>1.6665000000000001</v>
      </c>
      <c r="J87" s="97">
        <f t="shared" si="40"/>
        <v>0.77</v>
      </c>
      <c r="K87" s="125">
        <f t="shared" si="41"/>
        <v>5</v>
      </c>
      <c r="L87" s="91">
        <f>AQ87</f>
        <v>4</v>
      </c>
      <c r="M87" s="160"/>
      <c r="N87" s="162"/>
      <c r="R87" s="108">
        <f>$B$91</f>
        <v>3</v>
      </c>
      <c r="S87" s="109">
        <f>$C$91</f>
        <v>16</v>
      </c>
      <c r="T87" s="36">
        <f>0.5*(F86-G86*0.5-H86*0.5)+H86-0.0085</f>
        <v>1.6665000000000001</v>
      </c>
      <c r="U87" s="37">
        <f t="shared" ref="U87" si="45">T87*R87</f>
        <v>4.9995000000000003</v>
      </c>
      <c r="V87" s="38">
        <f>IF(S87=6,0.222,IF(S87=8,0.395,IF(S87=10,0.617,IF(S87=12,0.888,IF(S87=16,1.578,IF(S87=20,2.47,IF(S87=25,3.85,"NO CONT.")))))))*U87</f>
        <v>7.8892110000000004</v>
      </c>
      <c r="W87" s="108">
        <f>$B$90</f>
        <v>3</v>
      </c>
      <c r="X87" s="109">
        <f>$C$90</f>
        <v>16</v>
      </c>
      <c r="Y87" s="40">
        <f t="shared" si="42"/>
        <v>1.6665000000000001</v>
      </c>
      <c r="Z87" s="37">
        <f t="shared" si="43"/>
        <v>4.9995000000000003</v>
      </c>
      <c r="AA87" s="38">
        <f>IF(X87=6,0.222,IF(X87=8,0.395,IF(X87=10,0.617,IF(X87=12,0.888,IF(X87=16,1.578,IF(X87=20,2.47,IF(X87=25,3.85,"NO CONT.")))))))*Z87</f>
        <v>7.8892110000000004</v>
      </c>
      <c r="AB87" s="163">
        <f>H86-0.03</f>
        <v>0.77</v>
      </c>
      <c r="AC87" s="164"/>
      <c r="AD87" s="89">
        <f>ROUNDUP((Y87-AB87-0.28)/$B$93,0)+1</f>
        <v>5</v>
      </c>
      <c r="AE87" s="90">
        <f>$B$92</f>
        <v>10</v>
      </c>
      <c r="AF87" s="109">
        <f>$B$84-$B$86*2</f>
        <v>0.30000000000000004</v>
      </c>
      <c r="AG87" s="112">
        <f>$B$85-$B$87*2</f>
        <v>0.1</v>
      </c>
      <c r="AH87" s="123">
        <f>$B$93</f>
        <v>0.2</v>
      </c>
      <c r="AI87" s="37">
        <f t="shared" ref="AI87" si="46">(AF87*2+AG87*2+0.14)*AD87</f>
        <v>4.7</v>
      </c>
      <c r="AJ87" s="38">
        <f>IF(AE87=6,0.222,IF(AE87=8,0.395,IF(AE87=10,0.617,IF(AE87=12,0.888,IF(AE87=16,1.578,IF(AE87=20,2.47,IF(AE87=25,3.85,"NO CONT.")))))))*AI87</f>
        <v>2.8999000000000001</v>
      </c>
      <c r="AK87" s="140"/>
      <c r="AL87" s="142"/>
      <c r="AM87" s="144"/>
      <c r="AN87" s="75"/>
      <c r="AO87" s="146"/>
      <c r="AP87" s="148"/>
      <c r="AQ87" s="89">
        <f>ROUNDUP((Y87-AB87-0.28)/$B$93,0)</f>
        <v>4</v>
      </c>
      <c r="AR87" s="90">
        <f>$B$92</f>
        <v>10</v>
      </c>
      <c r="AS87" s="109">
        <f>$B$84-$B$86*2</f>
        <v>0.30000000000000004</v>
      </c>
      <c r="AT87" s="112">
        <f>$B$88-$B$87*2</f>
        <v>0.24999999999999997</v>
      </c>
      <c r="AU87" s="37">
        <f t="shared" si="44"/>
        <v>4.9600000000000009</v>
      </c>
      <c r="AV87" s="38">
        <f>IF(AR87=6,0.222,IF(AR87=8,0.395,IF(AR87=10,0.617,IF(AR87=12,0.888,IF(AR87=16,1.578,IF(AR87=20,2.47,IF(AR87=25,3.85,"NO CONT.")))))))*AU87</f>
        <v>3.0603200000000004</v>
      </c>
      <c r="AW87" s="118">
        <f>B91</f>
        <v>3</v>
      </c>
      <c r="AX87" s="99">
        <f>$C$90</f>
        <v>16</v>
      </c>
      <c r="AY87">
        <v>2.42</v>
      </c>
      <c r="AZ87" s="80">
        <f t="shared" ref="AZ87" si="47">AY87*AW87</f>
        <v>7.26</v>
      </c>
      <c r="BA87" s="41">
        <f>IF(AX87=6,0.222,IF(AX87=8,0.395,IF(AX87=10,0.617,IF(AX87=12,0.888,IF(AX87=16,1.578,IF(AX87=20,2.47,IF(AX87=25,3.85,"NO CONT.")))))))*AZ87</f>
        <v>11.45628</v>
      </c>
      <c r="BB87" s="47">
        <f>BA87+AJ93+AJ87+AA87+V87+AV93+AV87</f>
        <v>35.885041999999999</v>
      </c>
      <c r="BC87" s="150"/>
    </row>
    <row r="88" spans="1:58" ht="15" customHeight="1" x14ac:dyDescent="0.3">
      <c r="A88" s="3" t="s">
        <v>80</v>
      </c>
      <c r="B88" s="57">
        <v>0.35</v>
      </c>
      <c r="C88" s="5" t="s">
        <v>11</v>
      </c>
      <c r="D88" s="3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 s="133"/>
      <c r="AC88" s="133"/>
      <c r="AD88"/>
      <c r="AE88"/>
      <c r="AF88"/>
      <c r="AG88"/>
      <c r="AH88"/>
      <c r="AI88"/>
      <c r="AJ88"/>
      <c r="AK88" s="133"/>
      <c r="AL88" s="133"/>
      <c r="AM88" s="133"/>
      <c r="AN88" s="133"/>
      <c r="AO88" s="133"/>
      <c r="AP88" s="133"/>
      <c r="AQ88"/>
      <c r="AR88"/>
      <c r="AS88"/>
      <c r="AT88"/>
      <c r="AU88"/>
      <c r="AV88"/>
      <c r="AW88"/>
      <c r="AX88"/>
      <c r="AY88"/>
      <c r="AZ88"/>
      <c r="BA88"/>
      <c r="BB88"/>
      <c r="BC88" s="133"/>
      <c r="BD88"/>
      <c r="BE88"/>
      <c r="BF88"/>
    </row>
    <row r="89" spans="1:58" ht="15" customHeight="1" x14ac:dyDescent="0.3">
      <c r="A89" s="18" t="s">
        <v>46</v>
      </c>
      <c r="C89" s="5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 s="133"/>
      <c r="AC89" s="133"/>
      <c r="AD89"/>
      <c r="AE89"/>
      <c r="AF89"/>
      <c r="AG89"/>
      <c r="AH89"/>
      <c r="AI89"/>
      <c r="AJ89"/>
      <c r="AK89" s="133"/>
      <c r="AL89" s="133"/>
      <c r="AM89" s="133"/>
      <c r="AN89" s="133"/>
      <c r="AO89" s="133"/>
      <c r="AP89" s="133"/>
      <c r="AQ89"/>
      <c r="AR89"/>
      <c r="AS89"/>
      <c r="AT89"/>
      <c r="AU89"/>
      <c r="AV89"/>
      <c r="AW89"/>
      <c r="AX89"/>
      <c r="AY89"/>
      <c r="AZ89"/>
      <c r="BA89"/>
      <c r="BB89"/>
      <c r="BC89" s="133"/>
      <c r="BD89"/>
      <c r="BE89"/>
      <c r="BF89"/>
    </row>
    <row r="90" spans="1:58" ht="15" customHeight="1" x14ac:dyDescent="0.3">
      <c r="A90" s="3" t="s">
        <v>48</v>
      </c>
      <c r="B90" s="102">
        <v>3</v>
      </c>
      <c r="C90" s="103">
        <v>16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 s="133"/>
      <c r="AC90" s="133"/>
      <c r="AD90" s="136" t="s">
        <v>18</v>
      </c>
      <c r="AE90" s="137"/>
      <c r="AF90" s="137"/>
      <c r="AG90" s="137"/>
      <c r="AH90" s="137"/>
      <c r="AI90" s="137"/>
      <c r="AJ90" s="138"/>
      <c r="AQ90" s="136" t="s">
        <v>81</v>
      </c>
      <c r="AR90" s="137"/>
      <c r="AS90" s="137"/>
      <c r="AT90" s="137"/>
      <c r="AU90" s="137"/>
      <c r="AV90" s="138"/>
      <c r="AW90"/>
      <c r="AX90"/>
      <c r="AY90"/>
      <c r="AZ90"/>
      <c r="BA90"/>
      <c r="BB90"/>
      <c r="BC90" s="133"/>
      <c r="BD90"/>
      <c r="BE90"/>
      <c r="BF90"/>
    </row>
    <row r="91" spans="1:58" ht="15" customHeight="1" x14ac:dyDescent="0.3">
      <c r="A91" s="3" t="s">
        <v>52</v>
      </c>
      <c r="B91" s="102">
        <f>B90</f>
        <v>3</v>
      </c>
      <c r="C91" s="103">
        <f>C90</f>
        <v>16</v>
      </c>
      <c r="D91" s="53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 s="133"/>
      <c r="AC91" s="133"/>
      <c r="AD91" s="89" t="s">
        <v>35</v>
      </c>
      <c r="AE91" s="90" t="s">
        <v>36</v>
      </c>
      <c r="AF91" s="90" t="s">
        <v>38</v>
      </c>
      <c r="AG91" s="91" t="s">
        <v>39</v>
      </c>
      <c r="AH91" s="28"/>
      <c r="AI91" s="28" t="s">
        <v>37</v>
      </c>
      <c r="AJ91" s="27" t="s">
        <v>31</v>
      </c>
      <c r="AQ91" s="89" t="s">
        <v>35</v>
      </c>
      <c r="AR91" s="90" t="s">
        <v>36</v>
      </c>
      <c r="AS91" s="90" t="s">
        <v>38</v>
      </c>
      <c r="AT91" s="91" t="s">
        <v>39</v>
      </c>
      <c r="AU91" s="28" t="s">
        <v>37</v>
      </c>
      <c r="AV91" s="27" t="s">
        <v>31</v>
      </c>
      <c r="AW91"/>
      <c r="AX91"/>
      <c r="AY91"/>
      <c r="AZ91"/>
      <c r="BA91"/>
      <c r="BB91"/>
      <c r="BC91" s="133"/>
      <c r="BD91"/>
      <c r="BE91"/>
      <c r="BF91"/>
    </row>
    <row r="92" spans="1:58" ht="15" customHeight="1" x14ac:dyDescent="0.3">
      <c r="A92" s="3" t="s">
        <v>56</v>
      </c>
      <c r="B92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 s="134" t="s">
        <v>47</v>
      </c>
      <c r="U92" s="134"/>
      <c r="V92" s="134"/>
      <c r="W92" s="134"/>
      <c r="X92" s="134"/>
      <c r="Y92" s="134"/>
      <c r="Z92"/>
      <c r="AA92"/>
      <c r="AB92" s="133"/>
      <c r="AC92" s="133"/>
      <c r="AD92" s="110">
        <v>2</v>
      </c>
      <c r="AE92" s="111">
        <f>$B$92</f>
        <v>10</v>
      </c>
      <c r="AF92" s="93">
        <f>$B$84-$B$86*2</f>
        <v>0.30000000000000004</v>
      </c>
      <c r="AG92" s="94">
        <f>$B$95-$B$97*2</f>
        <v>0.1</v>
      </c>
      <c r="AH92" s="33"/>
      <c r="AI92" s="31">
        <f>(AF92*2+AG92*2+0.14)*AD92</f>
        <v>1.8800000000000001</v>
      </c>
      <c r="AJ92" s="32">
        <f>IF(AE92=6,0.222,IF(AE92=8,0.395,IF(AE92=10,0.617,IF(AE92=12,0.888,IF(AE92=16,1.578,IF(AE92=20,2.47,IF(AE92=25,3.85,"NO CONT.")))))))*AI92</f>
        <v>1.1599600000000001</v>
      </c>
      <c r="AQ92" s="110">
        <v>2</v>
      </c>
      <c r="AR92" s="111">
        <f>$B$92</f>
        <v>10</v>
      </c>
      <c r="AS92" s="93">
        <f>$B$84-$B$86*2</f>
        <v>0.30000000000000004</v>
      </c>
      <c r="AT92" s="94">
        <f>$B$88-$B$87*2</f>
        <v>0.24999999999999997</v>
      </c>
      <c r="AU92" s="31">
        <f>(AS92*2+AT92*2+0.14)*AQ92</f>
        <v>2.4800000000000004</v>
      </c>
      <c r="AV92" s="32">
        <f>IF(AR92=6,0.222,IF(AR92=8,0.395,IF(AR92=10,0.617,IF(AR92=12,0.888,IF(AR92=16,1.578,IF(AR92=20,2.47,IF(AR92=25,3.85,"NO CONT.")))))))*AU92</f>
        <v>1.5301600000000002</v>
      </c>
      <c r="AW92"/>
      <c r="AX92"/>
      <c r="AY92"/>
      <c r="AZ92"/>
      <c r="BA92"/>
      <c r="BB92"/>
      <c r="BC92" s="133"/>
      <c r="BD92"/>
      <c r="BE92"/>
      <c r="BF92"/>
    </row>
    <row r="93" spans="1:58" ht="15" customHeight="1" x14ac:dyDescent="0.3">
      <c r="A93" s="8" t="s">
        <v>58</v>
      </c>
      <c r="B93">
        <v>0.2</v>
      </c>
      <c r="C93" s="5" t="s">
        <v>11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 s="135" t="s">
        <v>69</v>
      </c>
      <c r="U93" s="135"/>
      <c r="V93" s="135"/>
      <c r="W93" s="135" t="s">
        <v>51</v>
      </c>
      <c r="X93" s="135"/>
      <c r="Y93" s="135"/>
      <c r="Z93"/>
      <c r="AA93"/>
      <c r="AB93" s="133"/>
      <c r="AC93" s="133"/>
      <c r="AD93" s="89">
        <v>2</v>
      </c>
      <c r="AE93" s="90">
        <f>$B$92</f>
        <v>10</v>
      </c>
      <c r="AF93" s="109">
        <f>$B$84-$B$86*2</f>
        <v>0.30000000000000004</v>
      </c>
      <c r="AG93" s="112">
        <f>$B$95-$B$97*2</f>
        <v>0.1</v>
      </c>
      <c r="AH93" s="39"/>
      <c r="AI93" s="37">
        <f t="shared" ref="AI93" si="48">(AF93*2+AG93*2+0.14)*AD93</f>
        <v>1.8800000000000001</v>
      </c>
      <c r="AJ93" s="38">
        <f>IF(AE93=6,0.222,IF(AE93=8,0.395,IF(AE93=10,0.617,IF(AE93=12,0.888,IF(AE93=16,1.578,IF(AE93=20,2.47,IF(AE93=25,3.85,"NO CONT.")))))))*AI93</f>
        <v>1.1599600000000001</v>
      </c>
      <c r="AQ93" s="89">
        <v>2</v>
      </c>
      <c r="AR93" s="90">
        <f>$B$92</f>
        <v>10</v>
      </c>
      <c r="AS93" s="109">
        <f>$B$84-$B$86*2</f>
        <v>0.30000000000000004</v>
      </c>
      <c r="AT93" s="112">
        <f>$B$88-$B$87*2</f>
        <v>0.24999999999999997</v>
      </c>
      <c r="AU93" s="37">
        <f t="shared" ref="AU93" si="49">(AS93*2+AT93*2+0.14)*AQ93</f>
        <v>2.4800000000000004</v>
      </c>
      <c r="AV93" s="38">
        <f>IF(AR93=6,0.222,IF(AR93=8,0.395,IF(AR93=10,0.617,IF(AR93=12,0.888,IF(AR93=16,1.578,IF(AR93=20,2.47,IF(AR93=25,3.85,"NO CONT.")))))))*AU93</f>
        <v>1.5301600000000002</v>
      </c>
      <c r="AW93"/>
      <c r="AX93"/>
      <c r="AY93"/>
      <c r="AZ93"/>
      <c r="BA93"/>
      <c r="BB93"/>
      <c r="BC93" s="133"/>
      <c r="BD93"/>
      <c r="BE93"/>
      <c r="BF93"/>
    </row>
    <row r="94" spans="1:58" ht="15" customHeight="1" x14ac:dyDescent="0.3">
      <c r="A94" s="10" t="s">
        <v>59</v>
      </c>
      <c r="B94" s="7"/>
      <c r="C94" s="8"/>
      <c r="D94" s="9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 s="127" t="s">
        <v>53</v>
      </c>
      <c r="U94" s="127" t="s">
        <v>54</v>
      </c>
      <c r="V94" s="127" t="s">
        <v>55</v>
      </c>
      <c r="W94" s="127" t="s">
        <v>53</v>
      </c>
      <c r="X94" s="127" t="s">
        <v>54</v>
      </c>
      <c r="Y94" s="127" t="s">
        <v>55</v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 s="133"/>
      <c r="BD94"/>
      <c r="BE94"/>
      <c r="BF94"/>
    </row>
    <row r="95" spans="1:58" ht="15" customHeight="1" x14ac:dyDescent="0.3">
      <c r="A95" s="3" t="s">
        <v>60</v>
      </c>
      <c r="B95" s="105">
        <v>0.2</v>
      </c>
      <c r="C95" s="52" t="s">
        <v>11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 s="126" t="s">
        <v>84</v>
      </c>
      <c r="T95" s="122">
        <f>AF92+($B$87*2)</f>
        <v>0.4</v>
      </c>
      <c r="U95" s="122">
        <f>AG92+($B$86*2)</f>
        <v>0.25</v>
      </c>
      <c r="V95" s="122">
        <f>J86+$B$99</f>
        <v>1.52</v>
      </c>
      <c r="W95" s="122">
        <f>AS92+($B$87*2)</f>
        <v>0.4</v>
      </c>
      <c r="X95" s="122">
        <f>AT92+($B$86*2)</f>
        <v>0.39999999999999997</v>
      </c>
      <c r="Y95" s="122">
        <f>$M$86+$B$99</f>
        <v>1.7</v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s="133"/>
      <c r="BD95"/>
      <c r="BE95"/>
      <c r="BF95"/>
    </row>
    <row r="96" spans="1:58" ht="15" customHeight="1" x14ac:dyDescent="0.3">
      <c r="A96" s="3"/>
      <c r="B96" s="54" t="s">
        <v>61</v>
      </c>
      <c r="C96" s="8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 s="126" t="s">
        <v>85</v>
      </c>
      <c r="T96" s="122">
        <f>AF93+($B$87*2)</f>
        <v>0.4</v>
      </c>
      <c r="U96" s="122">
        <f>AG93+($B$86*2)</f>
        <v>0.25</v>
      </c>
      <c r="V96" s="122">
        <f>J87+$B$99</f>
        <v>0.82000000000000006</v>
      </c>
      <c r="W96" s="122">
        <f>AS93+($B$87*2)</f>
        <v>0.4</v>
      </c>
      <c r="X96" s="122">
        <f>AT93+($B$86*2)</f>
        <v>0.39999999999999997</v>
      </c>
      <c r="Y96" s="122">
        <f>$M$86+$B$99</f>
        <v>1.7</v>
      </c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s="133"/>
      <c r="BD96"/>
      <c r="BE96"/>
      <c r="BF96"/>
    </row>
    <row r="97" spans="1:58" ht="15" customHeight="1" x14ac:dyDescent="0.3">
      <c r="A97" s="3" t="s">
        <v>62</v>
      </c>
      <c r="B97">
        <v>0.05</v>
      </c>
      <c r="C97" s="5" t="s">
        <v>11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s="133"/>
      <c r="BD97"/>
      <c r="BE97"/>
      <c r="BF97"/>
    </row>
    <row r="98" spans="1:58" ht="15" customHeight="1" x14ac:dyDescent="0.3">
      <c r="C98" s="17"/>
      <c r="K98" s="64" t="s">
        <v>63</v>
      </c>
      <c r="R98" s="23"/>
      <c r="S98" s="23"/>
      <c r="T98" s="23"/>
      <c r="U98" s="23"/>
      <c r="V98" s="23"/>
      <c r="W98" s="23"/>
      <c r="X98" s="23"/>
      <c r="Y98" s="23"/>
      <c r="Z98" s="48"/>
      <c r="AA98" s="23"/>
      <c r="AB98" s="23"/>
      <c r="AC98" s="23"/>
      <c r="AW98" s="5"/>
      <c r="AX98" s="5"/>
      <c r="AY98" s="5"/>
      <c r="AZ98" s="5"/>
      <c r="BA98" s="5"/>
      <c r="BB98" s="5"/>
      <c r="BC98" s="5"/>
    </row>
    <row r="99" spans="1:58" x14ac:dyDescent="0.3">
      <c r="A99" s="3" t="s">
        <v>92</v>
      </c>
      <c r="B99" s="4">
        <v>0.05</v>
      </c>
    </row>
    <row r="100" spans="1:58" x14ac:dyDescent="0.3">
      <c r="G100" s="1" t="s">
        <v>91</v>
      </c>
    </row>
    <row r="102" spans="1:58" x14ac:dyDescent="0.3"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</row>
    <row r="103" spans="1:58" x14ac:dyDescent="0.3"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</row>
    <row r="104" spans="1:58" x14ac:dyDescent="0.3">
      <c r="A104" s="18"/>
      <c r="D104" s="23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</row>
    <row r="105" spans="1:58" x14ac:dyDescent="0.3"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</row>
    <row r="106" spans="1:58" x14ac:dyDescent="0.3"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</row>
    <row r="107" spans="1:58" x14ac:dyDescent="0.3"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</row>
    <row r="108" spans="1:58" x14ac:dyDescent="0.3"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</row>
    <row r="109" spans="1:58" x14ac:dyDescent="0.3"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</row>
    <row r="110" spans="1:58" x14ac:dyDescent="0.3"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</row>
    <row r="111" spans="1:58" x14ac:dyDescent="0.3"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</row>
    <row r="112" spans="1:58" x14ac:dyDescent="0.3"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</row>
  </sheetData>
  <mergeCells count="146">
    <mergeCell ref="M1:N1"/>
    <mergeCell ref="O1:R1"/>
    <mergeCell ref="M2:N2"/>
    <mergeCell ref="K5:N5"/>
    <mergeCell ref="R7:BA7"/>
    <mergeCell ref="J8:L8"/>
    <mergeCell ref="R8:V8"/>
    <mergeCell ref="W8:AC8"/>
    <mergeCell ref="AD8:AJ8"/>
    <mergeCell ref="AK8:AP8"/>
    <mergeCell ref="BC10:BC11"/>
    <mergeCell ref="BC12:BC13"/>
    <mergeCell ref="T13:Y13"/>
    <mergeCell ref="T14:V14"/>
    <mergeCell ref="W14:Y14"/>
    <mergeCell ref="BC14:BC15"/>
    <mergeCell ref="AQ8:AV8"/>
    <mergeCell ref="AW8:BA8"/>
    <mergeCell ref="F10:F11"/>
    <mergeCell ref="G10:G11"/>
    <mergeCell ref="H10:H11"/>
    <mergeCell ref="N10:N11"/>
    <mergeCell ref="BC16:BC17"/>
    <mergeCell ref="BC18:BC19"/>
    <mergeCell ref="BC20:BC21"/>
    <mergeCell ref="R26:BA26"/>
    <mergeCell ref="J27:L27"/>
    <mergeCell ref="R27:V27"/>
    <mergeCell ref="W27:AC27"/>
    <mergeCell ref="AD27:AJ27"/>
    <mergeCell ref="AK27:AP27"/>
    <mergeCell ref="AQ27:AV27"/>
    <mergeCell ref="BC31:BC32"/>
    <mergeCell ref="T32:Y32"/>
    <mergeCell ref="T33:V33"/>
    <mergeCell ref="W33:Y33"/>
    <mergeCell ref="BC33:BC34"/>
    <mergeCell ref="BC35:BC36"/>
    <mergeCell ref="AW27:BA27"/>
    <mergeCell ref="F29:F30"/>
    <mergeCell ref="G29:G30"/>
    <mergeCell ref="H29:H30"/>
    <mergeCell ref="N29:N30"/>
    <mergeCell ref="BC29:BC30"/>
    <mergeCell ref="BC37:BC38"/>
    <mergeCell ref="BC39:BC40"/>
    <mergeCell ref="R45:BA45"/>
    <mergeCell ref="J46:L46"/>
    <mergeCell ref="R46:V46"/>
    <mergeCell ref="W46:AC46"/>
    <mergeCell ref="AD46:AJ46"/>
    <mergeCell ref="AK46:AP46"/>
    <mergeCell ref="AQ46:AV46"/>
    <mergeCell ref="AW46:BA46"/>
    <mergeCell ref="BC52:BC53"/>
    <mergeCell ref="BC54:BC55"/>
    <mergeCell ref="BC56:BC57"/>
    <mergeCell ref="BC58:BC59"/>
    <mergeCell ref="F48:F49"/>
    <mergeCell ref="G48:G49"/>
    <mergeCell ref="H48:H49"/>
    <mergeCell ref="N48:N49"/>
    <mergeCell ref="BC48:BC49"/>
    <mergeCell ref="BC50:BC51"/>
    <mergeCell ref="T51:Y51"/>
    <mergeCell ref="R64:BA64"/>
    <mergeCell ref="I65:J65"/>
    <mergeCell ref="R65:V65"/>
    <mergeCell ref="W65:AA65"/>
    <mergeCell ref="AD65:AJ65"/>
    <mergeCell ref="AK65:AP65"/>
    <mergeCell ref="AQ65:AV65"/>
    <mergeCell ref="AW65:BA65"/>
    <mergeCell ref="T52:V52"/>
    <mergeCell ref="W52:Y52"/>
    <mergeCell ref="BC67:BC68"/>
    <mergeCell ref="AB68:AC68"/>
    <mergeCell ref="AB69:AC69"/>
    <mergeCell ref="BC69:BC70"/>
    <mergeCell ref="T70:Y70"/>
    <mergeCell ref="AB70:AC70"/>
    <mergeCell ref="AB66:AC66"/>
    <mergeCell ref="F67:F68"/>
    <mergeCell ref="G67:G68"/>
    <mergeCell ref="H67:H68"/>
    <mergeCell ref="L67:L68"/>
    <mergeCell ref="AB67:AC67"/>
    <mergeCell ref="AB75:AC75"/>
    <mergeCell ref="BC75:BC76"/>
    <mergeCell ref="AB76:AC76"/>
    <mergeCell ref="AB77:AC77"/>
    <mergeCell ref="BC77:BC78"/>
    <mergeCell ref="AB78:AC78"/>
    <mergeCell ref="T71:V71"/>
    <mergeCell ref="W71:Y71"/>
    <mergeCell ref="AB71:AC71"/>
    <mergeCell ref="BC71:BC72"/>
    <mergeCell ref="AB72:AC72"/>
    <mergeCell ref="AB73:AC73"/>
    <mergeCell ref="BC73:BC74"/>
    <mergeCell ref="AB74:AC74"/>
    <mergeCell ref="R83:BA83"/>
    <mergeCell ref="I84:J84"/>
    <mergeCell ref="K84:L84"/>
    <mergeCell ref="R84:V84"/>
    <mergeCell ref="W84:AA84"/>
    <mergeCell ref="AD84:AJ84"/>
    <mergeCell ref="AK84:AP84"/>
    <mergeCell ref="AQ84:AV84"/>
    <mergeCell ref="AW84:BA84"/>
    <mergeCell ref="AK86:AK87"/>
    <mergeCell ref="AL86:AL87"/>
    <mergeCell ref="AM86:AM87"/>
    <mergeCell ref="AO86:AO87"/>
    <mergeCell ref="AP86:AP87"/>
    <mergeCell ref="BC86:BC87"/>
    <mergeCell ref="AB85:AC85"/>
    <mergeCell ref="F86:F87"/>
    <mergeCell ref="G86:G87"/>
    <mergeCell ref="H86:H87"/>
    <mergeCell ref="M86:M87"/>
    <mergeCell ref="N86:N87"/>
    <mergeCell ref="AB86:AC86"/>
    <mergeCell ref="AB87:AC87"/>
    <mergeCell ref="BC94:BC95"/>
    <mergeCell ref="BC96:BC97"/>
    <mergeCell ref="T92:Y92"/>
    <mergeCell ref="AB92:AC92"/>
    <mergeCell ref="BC92:BC93"/>
    <mergeCell ref="T93:V93"/>
    <mergeCell ref="W93:Y93"/>
    <mergeCell ref="AB93:AC93"/>
    <mergeCell ref="AP88:AP89"/>
    <mergeCell ref="BC88:BC89"/>
    <mergeCell ref="AB89:AC89"/>
    <mergeCell ref="AB90:AC90"/>
    <mergeCell ref="AD90:AJ90"/>
    <mergeCell ref="AQ90:AV90"/>
    <mergeCell ref="BC90:BC91"/>
    <mergeCell ref="AB91:AC91"/>
    <mergeCell ref="AB88:AC88"/>
    <mergeCell ref="AK88:AK89"/>
    <mergeCell ref="AL88:AL89"/>
    <mergeCell ref="AM88:AM89"/>
    <mergeCell ref="AN88:AN89"/>
    <mergeCell ref="AO88:AO89"/>
  </mergeCells>
  <conditionalFormatting sqref="F10:F22">
    <cfRule type="cellIs" dxfId="41" priority="5" operator="greaterThan">
      <formula>8</formula>
    </cfRule>
    <cfRule type="cellIs" dxfId="40" priority="6" operator="lessThan">
      <formula>7</formula>
    </cfRule>
  </conditionalFormatting>
  <conditionalFormatting sqref="F29:F40 F67:F78 F86:F97">
    <cfRule type="cellIs" dxfId="39" priority="12" operator="greaterThan">
      <formula>7</formula>
    </cfRule>
    <cfRule type="cellIs" dxfId="38" priority="14" operator="lessThan">
      <formula>2</formula>
    </cfRule>
  </conditionalFormatting>
  <conditionalFormatting sqref="F48:F59">
    <cfRule type="cellIs" dxfId="37" priority="10" operator="greaterThan">
      <formula>4.6</formula>
    </cfRule>
    <cfRule type="cellIs" dxfId="36" priority="11" operator="lessThan">
      <formula>3.2</formula>
    </cfRule>
  </conditionalFormatting>
  <conditionalFormatting sqref="G10:H22 G29:H40 G48:H59 G67:H78 G86:H97">
    <cfRule type="cellIs" dxfId="35" priority="7" operator="lessThan">
      <formula>0.8</formula>
    </cfRule>
    <cfRule type="cellIs" dxfId="34" priority="8" operator="greaterThan">
      <formula>1.5</formula>
    </cfRule>
  </conditionalFormatting>
  <conditionalFormatting sqref="L10:L22 L29:L40">
    <cfRule type="cellIs" dxfId="33" priority="13" operator="lessThan">
      <formula>1.19</formula>
    </cfRule>
  </conditionalFormatting>
  <conditionalFormatting sqref="L48:L59">
    <cfRule type="cellIs" dxfId="32" priority="9" operator="lessThan">
      <formula>0.82</formula>
    </cfRule>
  </conditionalFormatting>
  <conditionalFormatting sqref="T86:T87">
    <cfRule type="cellIs" dxfId="31" priority="3" operator="lessThan">
      <formula>1.31</formula>
    </cfRule>
  </conditionalFormatting>
  <conditionalFormatting sqref="AA48:AA49">
    <cfRule type="cellIs" dxfId="30" priority="4" operator="lessThan">
      <formula>0.82</formula>
    </cfRule>
  </conditionalFormatting>
  <conditionalFormatting sqref="AB67:AC67">
    <cfRule type="cellIs" dxfId="29" priority="2" operator="greaterThan">
      <formula>$Y$67-0.41</formula>
    </cfRule>
  </conditionalFormatting>
  <conditionalFormatting sqref="AB68:AC68">
    <cfRule type="cellIs" dxfId="28" priority="1" operator="greaterThan">
      <formula>$Y$68-0.41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31D5CE2-80C4-4956-8103-A257EFD2060B}">
          <x14:formula1>
            <xm:f>Full2!$A$1:$A$7</xm:f>
          </x14:formula1>
          <xm:sqref>B35 B92 C90 C33 B54 C52 B73 C71 B16 C14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4007-4D18-4CBC-A86A-C17AD935DAFC}">
  <dimension ref="A1:BF112"/>
  <sheetViews>
    <sheetView zoomScale="85" zoomScaleNormal="85" workbookViewId="0">
      <selection activeCell="AE38" sqref="AE38"/>
    </sheetView>
  </sheetViews>
  <sheetFormatPr baseColWidth="10" defaultColWidth="9.109375" defaultRowHeight="14.4" x14ac:dyDescent="0.3"/>
  <cols>
    <col min="1" max="1" width="15.6640625" style="1" customWidth="1"/>
    <col min="2" max="2" width="10.6640625" style="1" customWidth="1"/>
    <col min="3" max="3" width="5.6640625" style="1" customWidth="1"/>
    <col min="4" max="4" width="7.88671875" style="1" customWidth="1"/>
    <col min="5" max="5" width="10.6640625" style="1" customWidth="1"/>
    <col min="6" max="8" width="12.6640625" style="1" customWidth="1"/>
    <col min="9" max="10" width="8.6640625" style="1" customWidth="1"/>
    <col min="11" max="11" width="15.6640625" style="1" customWidth="1"/>
    <col min="12" max="14" width="8.6640625" style="1" customWidth="1"/>
    <col min="15" max="17" width="9.88671875" style="1" customWidth="1"/>
    <col min="18" max="18" width="5.6640625" style="1" customWidth="1"/>
    <col min="19" max="19" width="7.109375" style="1" bestFit="1" customWidth="1"/>
    <col min="20" max="22" width="6.6640625" style="1" customWidth="1"/>
    <col min="23" max="24" width="5.6640625" style="1" customWidth="1"/>
    <col min="25" max="29" width="6.6640625" style="1" customWidth="1"/>
    <col min="30" max="31" width="5.6640625" style="1" customWidth="1"/>
    <col min="32" max="33" width="6.6640625" style="1" customWidth="1"/>
    <col min="34" max="34" width="9.88671875" style="1" customWidth="1"/>
    <col min="35" max="36" width="6.6640625" style="1" customWidth="1"/>
    <col min="37" max="38" width="5.6640625" style="1" customWidth="1"/>
    <col min="39" max="42" width="6.6640625" style="1" customWidth="1"/>
    <col min="43" max="44" width="5.6640625" style="1" customWidth="1"/>
    <col min="45" max="48" width="6.6640625" style="1" customWidth="1"/>
    <col min="49" max="50" width="5.6640625" style="1" customWidth="1"/>
    <col min="51" max="55" width="6.6640625" style="1" customWidth="1"/>
    <col min="56" max="58" width="9.109375" style="1"/>
  </cols>
  <sheetData>
    <row r="1" spans="1:58" x14ac:dyDescent="0.3">
      <c r="M1" s="174" t="s">
        <v>0</v>
      </c>
      <c r="N1" s="174"/>
      <c r="O1" s="175" t="s">
        <v>1</v>
      </c>
      <c r="P1" s="175"/>
      <c r="Q1" s="175"/>
      <c r="R1" s="175"/>
    </row>
    <row r="2" spans="1:58" x14ac:dyDescent="0.3">
      <c r="M2" s="176" t="s">
        <v>2</v>
      </c>
      <c r="N2" s="176"/>
    </row>
    <row r="4" spans="1:58" ht="15.6" x14ac:dyDescent="0.3">
      <c r="A4" s="50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AB4" s="5"/>
    </row>
    <row r="5" spans="1:58" s="87" customFormat="1" x14ac:dyDescent="0.3">
      <c r="A5" s="85" t="s">
        <v>82</v>
      </c>
      <c r="B5" s="85"/>
      <c r="C5" s="85"/>
      <c r="D5" s="85"/>
      <c r="E5" s="85"/>
      <c r="F5" s="85" t="s">
        <v>4</v>
      </c>
      <c r="G5" s="85" t="s">
        <v>5</v>
      </c>
      <c r="H5" s="85"/>
      <c r="I5" s="85"/>
      <c r="J5" s="85"/>
      <c r="K5" s="177" t="s">
        <v>6</v>
      </c>
      <c r="L5" s="178"/>
      <c r="M5" s="178"/>
      <c r="N5" s="179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6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</row>
    <row r="6" spans="1:58" ht="15" customHeight="1" x14ac:dyDescent="0.3">
      <c r="A6" s="2" t="s">
        <v>7</v>
      </c>
      <c r="AB6" s="20"/>
    </row>
    <row r="7" spans="1:58" ht="15" customHeight="1" x14ac:dyDescent="0.3">
      <c r="A7" s="18" t="s">
        <v>8</v>
      </c>
      <c r="E7" s="18"/>
      <c r="H7" s="23"/>
      <c r="R7" s="165" t="s">
        <v>9</v>
      </c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24"/>
      <c r="BC7" s="5"/>
    </row>
    <row r="8" spans="1:58" ht="15" customHeight="1" x14ac:dyDescent="0.3">
      <c r="A8" s="3" t="s">
        <v>10</v>
      </c>
      <c r="B8" s="57">
        <v>0.45</v>
      </c>
      <c r="C8" s="5" t="s">
        <v>11</v>
      </c>
      <c r="E8" s="10"/>
      <c r="G8" s="6"/>
      <c r="I8" s="68" t="s">
        <v>12</v>
      </c>
      <c r="J8" s="169" t="s">
        <v>13</v>
      </c>
      <c r="K8" s="170"/>
      <c r="L8" s="171"/>
      <c r="M8" s="67" t="s">
        <v>14</v>
      </c>
      <c r="N8" s="21" t="s">
        <v>15</v>
      </c>
      <c r="R8" s="136" t="s">
        <v>12</v>
      </c>
      <c r="S8" s="137"/>
      <c r="T8" s="137"/>
      <c r="U8" s="137"/>
      <c r="V8" s="138"/>
      <c r="W8" s="136" t="s">
        <v>13</v>
      </c>
      <c r="X8" s="137"/>
      <c r="Y8" s="137"/>
      <c r="Z8" s="137"/>
      <c r="AA8" s="137"/>
      <c r="AB8" s="137"/>
      <c r="AC8" s="138"/>
      <c r="AD8" s="136" t="s">
        <v>16</v>
      </c>
      <c r="AE8" s="137"/>
      <c r="AF8" s="137"/>
      <c r="AG8" s="137"/>
      <c r="AH8" s="137"/>
      <c r="AI8" s="137"/>
      <c r="AJ8" s="138"/>
      <c r="AK8" s="136" t="s">
        <v>17</v>
      </c>
      <c r="AL8" s="137"/>
      <c r="AM8" s="137"/>
      <c r="AN8" s="137"/>
      <c r="AO8" s="137"/>
      <c r="AP8" s="138"/>
      <c r="AQ8" s="136" t="s">
        <v>18</v>
      </c>
      <c r="AR8" s="137"/>
      <c r="AS8" s="137"/>
      <c r="AT8" s="137"/>
      <c r="AU8" s="137"/>
      <c r="AV8" s="137"/>
      <c r="AW8" s="136" t="s">
        <v>19</v>
      </c>
      <c r="AX8" s="137"/>
      <c r="AY8" s="137"/>
      <c r="AZ8" s="137"/>
      <c r="BA8" s="138"/>
      <c r="BB8" s="25" t="s">
        <v>20</v>
      </c>
      <c r="BC8" s="5"/>
    </row>
    <row r="9" spans="1:58" ht="15" customHeight="1" x14ac:dyDescent="0.3">
      <c r="A9" s="3" t="s">
        <v>21</v>
      </c>
      <c r="B9" s="57">
        <f>B19+0.15</f>
        <v>0.4</v>
      </c>
      <c r="C9" s="5" t="s">
        <v>11</v>
      </c>
      <c r="E9" s="11" t="s">
        <v>22</v>
      </c>
      <c r="F9" s="100" t="s">
        <v>23</v>
      </c>
      <c r="G9" s="101" t="s">
        <v>24</v>
      </c>
      <c r="H9" s="101" t="s">
        <v>25</v>
      </c>
      <c r="I9" s="89" t="s">
        <v>26</v>
      </c>
      <c r="J9" s="89" t="s">
        <v>27</v>
      </c>
      <c r="K9" s="90" t="s">
        <v>28</v>
      </c>
      <c r="L9" s="91" t="s">
        <v>29</v>
      </c>
      <c r="M9" s="90" t="s">
        <v>30</v>
      </c>
      <c r="N9" s="121" t="s">
        <v>31</v>
      </c>
      <c r="O9" s="88" t="s">
        <v>32</v>
      </c>
      <c r="P9" s="88" t="s">
        <v>33</v>
      </c>
      <c r="Q9" s="88" t="s">
        <v>34</v>
      </c>
      <c r="R9" s="89" t="s">
        <v>35</v>
      </c>
      <c r="S9" s="90" t="s">
        <v>36</v>
      </c>
      <c r="T9" s="27" t="s">
        <v>26</v>
      </c>
      <c r="U9" s="28" t="s">
        <v>37</v>
      </c>
      <c r="V9" s="28" t="s">
        <v>31</v>
      </c>
      <c r="W9" s="89" t="s">
        <v>35</v>
      </c>
      <c r="X9" s="90" t="s">
        <v>36</v>
      </c>
      <c r="Y9" s="28" t="s">
        <v>27</v>
      </c>
      <c r="Z9" s="113" t="s">
        <v>28</v>
      </c>
      <c r="AA9" s="27" t="s">
        <v>29</v>
      </c>
      <c r="AB9" s="28" t="s">
        <v>37</v>
      </c>
      <c r="AC9" s="28" t="s">
        <v>31</v>
      </c>
      <c r="AD9" s="89" t="s">
        <v>35</v>
      </c>
      <c r="AE9" s="90" t="s">
        <v>36</v>
      </c>
      <c r="AF9" s="90" t="s">
        <v>38</v>
      </c>
      <c r="AG9" s="91" t="s">
        <v>39</v>
      </c>
      <c r="AH9" s="90" t="s">
        <v>40</v>
      </c>
      <c r="AI9" s="28" t="s">
        <v>37</v>
      </c>
      <c r="AJ9" s="28" t="s">
        <v>31</v>
      </c>
      <c r="AK9" s="89" t="s">
        <v>35</v>
      </c>
      <c r="AL9" s="90" t="s">
        <v>36</v>
      </c>
      <c r="AM9" s="90" t="s">
        <v>38</v>
      </c>
      <c r="AN9" s="91" t="s">
        <v>39</v>
      </c>
      <c r="AO9" s="28" t="s">
        <v>37</v>
      </c>
      <c r="AP9" s="28" t="s">
        <v>31</v>
      </c>
      <c r="AQ9" s="89" t="s">
        <v>35</v>
      </c>
      <c r="AR9" s="90" t="s">
        <v>36</v>
      </c>
      <c r="AS9" s="90" t="s">
        <v>38</v>
      </c>
      <c r="AT9" s="91" t="s">
        <v>39</v>
      </c>
      <c r="AU9" s="28" t="s">
        <v>37</v>
      </c>
      <c r="AV9" s="28" t="s">
        <v>31</v>
      </c>
      <c r="AW9" s="89" t="s">
        <v>35</v>
      </c>
      <c r="AX9" s="90" t="s">
        <v>36</v>
      </c>
      <c r="AY9" t="s">
        <v>41</v>
      </c>
      <c r="AZ9" s="28" t="s">
        <v>37</v>
      </c>
      <c r="BA9" s="27" t="s">
        <v>31</v>
      </c>
      <c r="BB9" s="29" t="s">
        <v>42</v>
      </c>
      <c r="BC9" s="5"/>
    </row>
    <row r="10" spans="1:58" ht="15" customHeight="1" x14ac:dyDescent="0.3">
      <c r="A10" s="3" t="s">
        <v>43</v>
      </c>
      <c r="B10" s="4">
        <v>7.4999999999999997E-2</v>
      </c>
      <c r="C10" s="5" t="s">
        <v>11</v>
      </c>
      <c r="D10" s="3"/>
      <c r="E10" s="55"/>
      <c r="F10" s="153">
        <v>7.38</v>
      </c>
      <c r="G10" s="155">
        <v>1.07</v>
      </c>
      <c r="H10" s="157">
        <v>1.07</v>
      </c>
      <c r="I10" s="92">
        <f>T10</f>
        <v>4.1399999999999997</v>
      </c>
      <c r="J10" s="92">
        <f>Y10</f>
        <v>1.19</v>
      </c>
      <c r="K10" s="114">
        <f>Z10</f>
        <v>0.21213203435596431</v>
      </c>
      <c r="L10" s="94">
        <f>AA10</f>
        <v>2.8</v>
      </c>
      <c r="M10" s="95">
        <f>AD10</f>
        <v>13</v>
      </c>
      <c r="N10" s="172">
        <f>BC10</f>
        <v>129.26598610128227</v>
      </c>
      <c r="O10" s="119">
        <f>N10*1.05</f>
        <v>135.72928540634638</v>
      </c>
      <c r="P10" s="120">
        <f>1.05*(V10+V11+AC10+AC11+AJ10+AJ11+AP10+AP11+AV10+AV11)</f>
        <v>111.67109740634641</v>
      </c>
      <c r="Q10" s="120">
        <f>1.05*(BA10+BA11)</f>
        <v>24.058188000000001</v>
      </c>
      <c r="R10" s="107">
        <f>$B$15</f>
        <v>3</v>
      </c>
      <c r="S10" s="93" t="str">
        <f>$C$15</f>
        <v>Ø16</v>
      </c>
      <c r="T10" s="30">
        <f>(F10-G10*0.5-H10*0.5)*0.5+G10-0.085</f>
        <v>4.1399999999999997</v>
      </c>
      <c r="U10" s="31">
        <f>T10*R10</f>
        <v>12.419999999999998</v>
      </c>
      <c r="V10" s="32">
        <f>IF(S10="Ø6",0.222,IF(S10="Ø8",0.395,IF(S10="Ø10",0.617,IF(S10="Ø12",0.888,IF(S10="Ø16",1.578,IF(S10="Ø20",2.47,IF(S10="Ø25",3.85,"NO CONT.")))))))*U10</f>
        <v>19.598759999999999</v>
      </c>
      <c r="W10" s="107">
        <f t="shared" ref="W10" si="0">$B$33</f>
        <v>3</v>
      </c>
      <c r="X10" s="93" t="str">
        <f>$C$14</f>
        <v>Ø16</v>
      </c>
      <c r="Y10" s="34">
        <f>G10+0.15-0.03</f>
        <v>1.19</v>
      </c>
      <c r="Z10" s="114">
        <f>(AG10-AT10)*2/SQRT(2)</f>
        <v>0.21213203435596431</v>
      </c>
      <c r="AA10" s="30">
        <f t="shared" ref="AA10:AA11" si="1">T10-Y10-Z10*SQRT(2)/2</f>
        <v>2.8</v>
      </c>
      <c r="AB10" s="31">
        <f t="shared" ref="AB10:AB11" si="2">(Y10+Z10+AA10)*W10</f>
        <v>12.606396103067892</v>
      </c>
      <c r="AC10" s="32">
        <f>IF(X10="Ø6",0.222,IF(X10="Ø8",0.395,IF(X10="Ø10",0.617,IF(X10="Ø12",0.888,IF(X10="Ø16",1.578,IF(X10="Ø20",2.47,IF(X10="Ø25",3.85,"NO CONT.")))))))*AB10</f>
        <v>19.892893050641135</v>
      </c>
      <c r="AD10" s="110">
        <f>ROUNDUP((AA10-0.28)/$B$17,0)</f>
        <v>13</v>
      </c>
      <c r="AE10" s="111" t="str">
        <f>$B$16</f>
        <v>Ø10</v>
      </c>
      <c r="AF10" s="93">
        <f>$B$8-$B$10*2</f>
        <v>0.30000000000000004</v>
      </c>
      <c r="AG10" s="94">
        <f>$B$9-$B$11*2</f>
        <v>0.30000000000000004</v>
      </c>
      <c r="AH10" s="111">
        <f>$B$17*100</f>
        <v>20</v>
      </c>
      <c r="AI10" s="31">
        <f>(AF10*2+AG10*2+0.14)*AD10</f>
        <v>17.420000000000005</v>
      </c>
      <c r="AJ10" s="32">
        <f>IF(AE10="Ø6",0.222,IF(AE10="Ø8",0.395,IF(AE10="Ø10",0.617,IF(AE10="Ø12",0.888,IF(AE10="Ø16",1.578,IF(AE10="Ø20",2.47,IF(AE10="Ø25",3.85,"NO CONT.")))))))*AI10</f>
        <v>10.748140000000003</v>
      </c>
      <c r="AK10" s="111">
        <v>2</v>
      </c>
      <c r="AL10" s="111" t="str">
        <f>$B$35</f>
        <v>Ø10</v>
      </c>
      <c r="AM10" s="111">
        <f t="shared" ref="AM10" si="3">$B$27-$B$29*2</f>
        <v>0.30000000000000004</v>
      </c>
      <c r="AN10" s="111">
        <f>$B$9-$B$11*2</f>
        <v>0.30000000000000004</v>
      </c>
      <c r="AO10" s="31">
        <f>(AM10*2+AN10*2+0.14)*AK10</f>
        <v>2.6800000000000006</v>
      </c>
      <c r="AP10" s="32">
        <f>IF(AL10="Ø6",0.222,IF(AL10="Ø8",0.395,IF(AL10="Ø10",0.617,IF(AL10="Ø12",0.888,IF(AL10="Ø16",1.578,IF(AL10="Ø20",2.47,IF(AL10="Ø25",3.85,"NO CONT.")))))))*AO10</f>
        <v>1.6535600000000004</v>
      </c>
      <c r="AQ10" s="110">
        <v>2</v>
      </c>
      <c r="AR10" s="111" t="str">
        <f>$B$16</f>
        <v>Ø10</v>
      </c>
      <c r="AS10" s="93">
        <f>$B$8-$B$10*2</f>
        <v>0.30000000000000004</v>
      </c>
      <c r="AT10" s="94">
        <f>$B$19-$B$21*2</f>
        <v>0.15</v>
      </c>
      <c r="AU10" s="31">
        <f>(AS10*2+AT10*2+0.14)*AQ10</f>
        <v>2.08</v>
      </c>
      <c r="AV10" s="33">
        <f>IF(AR10="Ø6",0.222,IF(AR10="Ø8",0.395,IF(AR10="Ø10",0.617,IF(AR10="Ø12",0.888,IF(AR10="Ø16",1.578,IF(AR10="Ø20",2.47,IF(AR10="Ø25",3.85,"NO CONT.")))))))*AU10</f>
        <v>1.2833600000000001</v>
      </c>
      <c r="AW10" s="110">
        <f>B14</f>
        <v>3</v>
      </c>
      <c r="AX10" s="111" t="str">
        <f>$C$15</f>
        <v>Ø16</v>
      </c>
      <c r="AY10">
        <v>2.42</v>
      </c>
      <c r="AZ10" s="77">
        <f>AY10*AW10</f>
        <v>7.26</v>
      </c>
      <c r="BA10" s="32">
        <f>IF(AX10="Ø6",0.222,IF(AX10="Ø8",0.395,IF(AX10="Ø10",0.617,IF(AX10="Ø12",0.888,IF(AX10="Ø16",1.578,IF(AX10="Ø20",2.47,IF(AX10="Ø25",3.85,"NO CONT.")))))))*AZ10</f>
        <v>11.45628</v>
      </c>
      <c r="BB10" s="35">
        <f>BA10+AV10+AP10+AJ10+AC10+V10</f>
        <v>64.632993050641133</v>
      </c>
      <c r="BC10" s="149">
        <f>BB10+BB11</f>
        <v>129.26598610128227</v>
      </c>
    </row>
    <row r="11" spans="1:58" ht="15" customHeight="1" x14ac:dyDescent="0.3">
      <c r="A11" s="3" t="s">
        <v>44</v>
      </c>
      <c r="B11" s="57">
        <v>0.05</v>
      </c>
      <c r="C11" s="5" t="s">
        <v>11</v>
      </c>
      <c r="D11" s="3"/>
      <c r="E11" s="56"/>
      <c r="F11" s="154"/>
      <c r="G11" s="156"/>
      <c r="H11" s="158"/>
      <c r="I11" s="96">
        <f t="shared" ref="I11" si="4">T11</f>
        <v>4.1399999999999997</v>
      </c>
      <c r="J11" s="96">
        <f t="shared" ref="J11:L11" si="5">Y11</f>
        <v>1.19</v>
      </c>
      <c r="K11" s="116">
        <f t="shared" si="5"/>
        <v>0.21213203435596431</v>
      </c>
      <c r="L11" s="97">
        <f t="shared" si="5"/>
        <v>2.8</v>
      </c>
      <c r="M11" s="98">
        <f t="shared" ref="M11" si="6">AD11</f>
        <v>13</v>
      </c>
      <c r="N11" s="173"/>
      <c r="P11" s="84"/>
      <c r="R11" s="108">
        <f>$B$15</f>
        <v>3</v>
      </c>
      <c r="S11" s="109" t="str">
        <f>$C$15</f>
        <v>Ø16</v>
      </c>
      <c r="T11" s="36">
        <f>(F10-G10*0.5-H10*0.5)*0.5+H10-0.085</f>
        <v>4.1399999999999997</v>
      </c>
      <c r="U11" s="37">
        <f t="shared" ref="U11" si="7">T11*R11</f>
        <v>12.419999999999998</v>
      </c>
      <c r="V11" s="38">
        <f t="shared" ref="V11" si="8">IF(S11="Ø6",0.222,IF(S11="Ø8",0.395,IF(S11="Ø10",0.617,IF(S11="Ø12",0.888,IF(S11="Ø16",1.578,IF(S11="Ø20",2.47,IF(S11="Ø25",3.85,"NO CONT.")))))))*U11</f>
        <v>19.598759999999999</v>
      </c>
      <c r="W11" s="108">
        <f>$B$14</f>
        <v>3</v>
      </c>
      <c r="X11" s="109" t="str">
        <f>$C$14</f>
        <v>Ø16</v>
      </c>
      <c r="Y11" s="40">
        <f>H10+0.15-0.03</f>
        <v>1.19</v>
      </c>
      <c r="Z11" s="115">
        <f>(AG11-AT11)*2/SQRT(2)</f>
        <v>0.21213203435596431</v>
      </c>
      <c r="AA11" s="36">
        <f t="shared" si="1"/>
        <v>2.8</v>
      </c>
      <c r="AB11" s="37">
        <f t="shared" si="2"/>
        <v>12.606396103067892</v>
      </c>
      <c r="AC11" s="38">
        <f t="shared" ref="AC11" si="9">IF(X11="Ø6",0.222,IF(X11="Ø8",0.395,IF(X11="Ø10",0.617,IF(X11="Ø12",0.888,IF(X11="Ø16",1.578,IF(X11="Ø20",2.47,IF(X11="Ø25",3.85,"NO CONT.")))))))*AB11</f>
        <v>19.892893050641135</v>
      </c>
      <c r="AD11" s="89">
        <f>ROUNDUP((AA11-0.28)/$B$17,0)</f>
        <v>13</v>
      </c>
      <c r="AE11" s="90" t="str">
        <f>$B$16</f>
        <v>Ø10</v>
      </c>
      <c r="AF11" s="109">
        <f>$B$8-$B$10*2</f>
        <v>0.30000000000000004</v>
      </c>
      <c r="AG11" s="112">
        <f>$B$9-$B$11*2</f>
        <v>0.30000000000000004</v>
      </c>
      <c r="AH11" s="90">
        <f>$B$17*100</f>
        <v>20</v>
      </c>
      <c r="AI11" s="37">
        <f>(AF11*2+AG11*2+0.14)*AD11</f>
        <v>17.420000000000005</v>
      </c>
      <c r="AJ11" s="38">
        <f>IF(AE11="Ø6",0.222,IF(AE11="Ø8",0.395,IF(AE11="Ø10",0.617,IF(AE11="Ø12",0.888,IF(AE11="Ø16",1.578,IF(AE11="Ø20",2.47,IF(AE11="Ø25",3.85,"NO CONT.")))))))*AI11</f>
        <v>10.748140000000003</v>
      </c>
      <c r="AK11" s="90">
        <v>2</v>
      </c>
      <c r="AL11" s="90" t="str">
        <f>$B$16</f>
        <v>Ø10</v>
      </c>
      <c r="AM11" s="90">
        <f>$B$8-$B$10*2</f>
        <v>0.30000000000000004</v>
      </c>
      <c r="AN11" s="90">
        <f>$B$9-$B$11*2</f>
        <v>0.30000000000000004</v>
      </c>
      <c r="AO11" s="37">
        <f t="shared" ref="AO11" si="10">(AM11*2+AN11*2+0.14)*AK11</f>
        <v>2.6800000000000006</v>
      </c>
      <c r="AP11" s="38">
        <f t="shared" ref="AP11" si="11">IF(AL11="Ø6",0.222,IF(AL11="Ø8",0.395,IF(AL11="Ø10",0.617,IF(AL11="Ø12",0.888,IF(AL11="Ø16",1.578,IF(AL11="Ø20",2.47,IF(AL11="Ø25",3.85,"NO CONT.")))))))*AO11</f>
        <v>1.6535600000000004</v>
      </c>
      <c r="AQ11" s="89">
        <v>2</v>
      </c>
      <c r="AR11" s="90" t="str">
        <f>$B$16</f>
        <v>Ø10</v>
      </c>
      <c r="AS11" s="109">
        <f>$B$8-$B$10*2</f>
        <v>0.30000000000000004</v>
      </c>
      <c r="AT11" s="112">
        <f>$B$19-$B$21*2</f>
        <v>0.15</v>
      </c>
      <c r="AU11" s="37">
        <f t="shared" ref="AU11" si="12">(AS11*2+AT11*2+0.14)*AQ11</f>
        <v>2.08</v>
      </c>
      <c r="AV11" s="39">
        <f t="shared" ref="AV11" si="13">IF(AR11="Ø6",0.222,IF(AR11="Ø8",0.395,IF(AR11="Ø10",0.617,IF(AR11="Ø12",0.888,IF(AR11="Ø16",1.578,IF(AR11="Ø20",2.47,IF(AR11="Ø25",3.85,"NO CONT.")))))))*AU11</f>
        <v>1.2833600000000001</v>
      </c>
      <c r="AW11" s="118">
        <f>B14</f>
        <v>3</v>
      </c>
      <c r="AX11" s="99" t="str">
        <f>$C$14</f>
        <v>Ø16</v>
      </c>
      <c r="AY11">
        <v>2.42</v>
      </c>
      <c r="AZ11" s="80">
        <f t="shared" ref="AZ11" si="14">AY11*AW11</f>
        <v>7.26</v>
      </c>
      <c r="BA11" s="41">
        <f t="shared" ref="BA11" si="15">IF(AX11="Ø6",0.222,IF(AX11="Ø8",0.395,IF(AX11="Ø10",0.617,IF(AX11="Ø12",0.888,IF(AX11="Ø16",1.578,IF(AX11="Ø20",2.47,IF(AX11="Ø25",3.85,"NO CONT.")))))))*AZ11</f>
        <v>11.45628</v>
      </c>
      <c r="BB11" s="35">
        <f>BA11+AV11+AP11+AJ11+AC11+V11</f>
        <v>64.632993050641133</v>
      </c>
      <c r="BC11" s="150"/>
    </row>
    <row r="12" spans="1:58" ht="64.5" customHeight="1" x14ac:dyDescent="0.3">
      <c r="A12" s="3"/>
      <c r="B12" s="4"/>
      <c r="C12" s="5"/>
      <c r="D12" s="3"/>
      <c r="E12"/>
      <c r="F12"/>
      <c r="G12"/>
      <c r="H12"/>
      <c r="I12"/>
      <c r="J12"/>
      <c r="K12" s="117" t="s">
        <v>45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 s="133"/>
    </row>
    <row r="13" spans="1:58" ht="15" customHeight="1" x14ac:dyDescent="0.3">
      <c r="A13" s="18" t="s">
        <v>46</v>
      </c>
      <c r="C13" s="5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s="134" t="s">
        <v>47</v>
      </c>
      <c r="U13" s="134"/>
      <c r="V13" s="134"/>
      <c r="W13" s="134"/>
      <c r="X13" s="134"/>
      <c r="Y13" s="134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s="133"/>
    </row>
    <row r="14" spans="1:58" ht="15" customHeight="1" x14ac:dyDescent="0.3">
      <c r="A14" s="3" t="s">
        <v>48</v>
      </c>
      <c r="B14" s="102">
        <v>3</v>
      </c>
      <c r="C14" s="103" t="s">
        <v>49</v>
      </c>
      <c r="E14"/>
      <c r="F14"/>
      <c r="G14"/>
      <c r="H14"/>
      <c r="I14"/>
      <c r="J14"/>
      <c r="K14" s="128" t="s">
        <v>83</v>
      </c>
      <c r="L14"/>
      <c r="M14"/>
      <c r="N14"/>
      <c r="O14"/>
      <c r="P14"/>
      <c r="Q14"/>
      <c r="R14"/>
      <c r="S14"/>
      <c r="T14" s="135" t="s">
        <v>50</v>
      </c>
      <c r="U14" s="135"/>
      <c r="V14" s="135"/>
      <c r="W14" s="135" t="s">
        <v>51</v>
      </c>
      <c r="X14" s="135"/>
      <c r="Y14" s="135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s="133"/>
    </row>
    <row r="15" spans="1:58" ht="15" customHeight="1" x14ac:dyDescent="0.3">
      <c r="A15" s="3" t="s">
        <v>52</v>
      </c>
      <c r="B15" s="102">
        <v>3</v>
      </c>
      <c r="C15" s="103" t="str">
        <f>C14</f>
        <v>Ø16</v>
      </c>
      <c r="D15" s="53"/>
      <c r="E15"/>
      <c r="F15"/>
      <c r="G15"/>
      <c r="H15"/>
      <c r="I15"/>
      <c r="J15"/>
      <c r="K15" s="129">
        <f>(AG10-AT10)*2/SQRT(2)</f>
        <v>0.21213203435596431</v>
      </c>
      <c r="L15"/>
      <c r="M15"/>
      <c r="N15"/>
      <c r="O15"/>
      <c r="P15"/>
      <c r="Q15"/>
      <c r="R15"/>
      <c r="S15"/>
      <c r="T15" s="127" t="s">
        <v>53</v>
      </c>
      <c r="U15" s="127" t="s">
        <v>54</v>
      </c>
      <c r="V15" s="127" t="s">
        <v>55</v>
      </c>
      <c r="W15" s="127" t="s">
        <v>53</v>
      </c>
      <c r="X15" s="127" t="s">
        <v>54</v>
      </c>
      <c r="Y15" s="127" t="s">
        <v>55</v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s="133"/>
    </row>
    <row r="16" spans="1:58" ht="15" customHeight="1" x14ac:dyDescent="0.3">
      <c r="A16" s="3" t="s">
        <v>56</v>
      </c>
      <c r="B16" s="104" t="s">
        <v>57</v>
      </c>
      <c r="E16"/>
      <c r="F16"/>
      <c r="G16"/>
      <c r="H16"/>
      <c r="I16"/>
      <c r="J16"/>
      <c r="K16" s="129">
        <f>(AG11-AT11)*2/SQRT(2)</f>
        <v>0.21213203435596431</v>
      </c>
      <c r="L16"/>
      <c r="M16"/>
      <c r="N16"/>
      <c r="O16"/>
      <c r="P16"/>
      <c r="Q16"/>
      <c r="R16"/>
      <c r="S16" s="126" t="s">
        <v>84</v>
      </c>
      <c r="T16" s="122">
        <f>AS10+($B$11*2)</f>
        <v>0.4</v>
      </c>
      <c r="U16" s="122">
        <f>AT10+($B$10*2)</f>
        <v>0.3</v>
      </c>
      <c r="V16" s="122">
        <f>J10</f>
        <v>1.19</v>
      </c>
      <c r="W16" s="122">
        <f>AF10+($B$11*2)</f>
        <v>0.4</v>
      </c>
      <c r="X16" s="122">
        <f>AG10+($B$10*2)</f>
        <v>0.45000000000000007</v>
      </c>
      <c r="Y16" s="122">
        <f>I10-J10</f>
        <v>2.9499999999999997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 s="133"/>
    </row>
    <row r="17" spans="1:58" ht="15" customHeight="1" x14ac:dyDescent="0.3">
      <c r="A17" s="8" t="s">
        <v>58</v>
      </c>
      <c r="B17" s="105">
        <v>0.2</v>
      </c>
      <c r="C17" s="5" t="s">
        <v>11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 s="126" t="s">
        <v>85</v>
      </c>
      <c r="T17" s="122">
        <f>AS11+($B$11*2)</f>
        <v>0.4</v>
      </c>
      <c r="U17" s="122">
        <f>AT11+($B$10*2)</f>
        <v>0.3</v>
      </c>
      <c r="V17" s="122">
        <f>J11</f>
        <v>1.19</v>
      </c>
      <c r="W17" s="122">
        <f>AF11+($B$11*2)</f>
        <v>0.4</v>
      </c>
      <c r="X17" s="122">
        <f>AG11+($B$10*2)</f>
        <v>0.45000000000000007</v>
      </c>
      <c r="Y17" s="122">
        <f>I11-J11</f>
        <v>2.9499999999999997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s="133"/>
    </row>
    <row r="18" spans="1:58" ht="16.5" customHeight="1" x14ac:dyDescent="0.3">
      <c r="A18" s="10" t="s">
        <v>59</v>
      </c>
      <c r="B18" s="7"/>
      <c r="C18" s="8"/>
      <c r="D18" s="9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s="133"/>
    </row>
    <row r="19" spans="1:58" ht="15" customHeight="1" x14ac:dyDescent="0.3">
      <c r="A19" s="3" t="s">
        <v>60</v>
      </c>
      <c r="B19" s="105">
        <v>0.25</v>
      </c>
      <c r="C19" s="52" t="s">
        <v>11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s="133"/>
    </row>
    <row r="20" spans="1:58" ht="15" customHeight="1" x14ac:dyDescent="0.3">
      <c r="A20" s="3"/>
      <c r="B20" s="54" t="s">
        <v>61</v>
      </c>
      <c r="C20" s="8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 s="133"/>
    </row>
    <row r="21" spans="1:58" ht="15" customHeight="1" x14ac:dyDescent="0.3">
      <c r="A21" s="3" t="s">
        <v>62</v>
      </c>
      <c r="B21" s="106">
        <v>0.05</v>
      </c>
      <c r="C21" s="5" t="s">
        <v>11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s="133"/>
    </row>
    <row r="22" spans="1:58" ht="15" customHeight="1" x14ac:dyDescent="0.3">
      <c r="A22" s="3"/>
      <c r="B22" s="19"/>
      <c r="C22" s="5"/>
      <c r="E22" s="16"/>
      <c r="F22" s="14"/>
      <c r="G22" s="14"/>
      <c r="H22" s="14"/>
      <c r="I22" s="59"/>
      <c r="J22" s="59"/>
      <c r="K22" s="59"/>
      <c r="L22" s="59"/>
      <c r="M22" s="64" t="s">
        <v>63</v>
      </c>
      <c r="N22" s="59"/>
      <c r="R22" s="62"/>
      <c r="S22" s="42"/>
      <c r="T22" s="44"/>
      <c r="U22" s="43"/>
      <c r="V22" s="43"/>
      <c r="W22" s="63"/>
      <c r="X22" s="43"/>
      <c r="Y22" s="44"/>
      <c r="Z22" s="58"/>
      <c r="AB22" s="43"/>
      <c r="AC22" s="43"/>
      <c r="AD22" s="81"/>
      <c r="AE22" s="23"/>
      <c r="AF22" s="43"/>
      <c r="AG22" s="43"/>
      <c r="AH22" s="43"/>
      <c r="AI22" s="43"/>
      <c r="AJ22" s="43"/>
      <c r="AK22" s="23"/>
      <c r="AL22" s="23"/>
      <c r="AM22" s="43"/>
      <c r="AN22" s="43"/>
      <c r="AO22" s="43"/>
      <c r="AP22" s="43"/>
      <c r="AQ22" s="23"/>
      <c r="AR22" s="23"/>
      <c r="AS22" s="43"/>
      <c r="AT22" s="43"/>
      <c r="AU22" s="43"/>
      <c r="AV22" s="43"/>
      <c r="AW22" s="23"/>
      <c r="AX22" s="23"/>
      <c r="AY22" s="23"/>
      <c r="AZ22" s="23"/>
      <c r="BA22" s="43"/>
      <c r="BB22" s="44"/>
      <c r="BC22" s="23"/>
    </row>
    <row r="23" spans="1:58" ht="15.6" x14ac:dyDescent="0.3">
      <c r="A23" s="60"/>
      <c r="Z23" s="61"/>
      <c r="AA23" s="48"/>
      <c r="AB23" s="5"/>
    </row>
    <row r="24" spans="1:58" s="87" customFormat="1" x14ac:dyDescent="0.3">
      <c r="A24" s="85" t="s">
        <v>86</v>
      </c>
      <c r="B24" s="85"/>
      <c r="C24" s="85"/>
      <c r="D24" s="85"/>
      <c r="E24" s="85"/>
      <c r="F24" s="85" t="s">
        <v>64</v>
      </c>
      <c r="G24" s="85" t="s">
        <v>5</v>
      </c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6"/>
      <c r="AA24" s="86"/>
      <c r="AB24" s="86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</row>
    <row r="25" spans="1:58" ht="15" customHeight="1" x14ac:dyDescent="0.3">
      <c r="A25" s="2" t="s">
        <v>7</v>
      </c>
      <c r="Z25" s="49"/>
      <c r="AA25" s="20"/>
      <c r="AB25" s="20"/>
    </row>
    <row r="26" spans="1:58" ht="15" customHeight="1" x14ac:dyDescent="0.3">
      <c r="A26" s="18" t="s">
        <v>8</v>
      </c>
      <c r="E26" s="18"/>
      <c r="H26" s="23"/>
      <c r="R26" s="165" t="s">
        <v>9</v>
      </c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24"/>
      <c r="BC26" s="5"/>
    </row>
    <row r="27" spans="1:58" ht="15" customHeight="1" x14ac:dyDescent="0.3">
      <c r="A27" s="3" t="s">
        <v>10</v>
      </c>
      <c r="B27" s="57">
        <v>0.45</v>
      </c>
      <c r="C27" s="5" t="s">
        <v>11</v>
      </c>
      <c r="E27" s="10"/>
      <c r="G27" s="6"/>
      <c r="I27" s="68" t="s">
        <v>12</v>
      </c>
      <c r="J27" s="169" t="s">
        <v>13</v>
      </c>
      <c r="K27" s="170"/>
      <c r="L27" s="171"/>
      <c r="M27" s="67" t="s">
        <v>14</v>
      </c>
      <c r="N27" s="21" t="s">
        <v>15</v>
      </c>
      <c r="P27" s="84"/>
      <c r="R27" s="136" t="s">
        <v>12</v>
      </c>
      <c r="S27" s="137"/>
      <c r="T27" s="137"/>
      <c r="U27" s="137"/>
      <c r="V27" s="138"/>
      <c r="W27" s="136" t="s">
        <v>13</v>
      </c>
      <c r="X27" s="137"/>
      <c r="Y27" s="137"/>
      <c r="Z27" s="137"/>
      <c r="AA27" s="137"/>
      <c r="AB27" s="137"/>
      <c r="AC27" s="138"/>
      <c r="AD27" s="136" t="s">
        <v>16</v>
      </c>
      <c r="AE27" s="137"/>
      <c r="AF27" s="137"/>
      <c r="AG27" s="137"/>
      <c r="AH27" s="137"/>
      <c r="AI27" s="137"/>
      <c r="AJ27" s="138"/>
      <c r="AK27" s="136" t="s">
        <v>17</v>
      </c>
      <c r="AL27" s="137"/>
      <c r="AM27" s="137"/>
      <c r="AN27" s="137"/>
      <c r="AO27" s="137"/>
      <c r="AP27" s="138"/>
      <c r="AQ27" s="136" t="s">
        <v>18</v>
      </c>
      <c r="AR27" s="137"/>
      <c r="AS27" s="137"/>
      <c r="AT27" s="137"/>
      <c r="AU27" s="137"/>
      <c r="AV27" s="137"/>
      <c r="AW27" s="136" t="s">
        <v>19</v>
      </c>
      <c r="AX27" s="137"/>
      <c r="AY27" s="137"/>
      <c r="AZ27" s="137"/>
      <c r="BA27" s="138"/>
      <c r="BB27" s="25" t="s">
        <v>20</v>
      </c>
      <c r="BC27" s="5"/>
    </row>
    <row r="28" spans="1:58" ht="15" customHeight="1" x14ac:dyDescent="0.3">
      <c r="A28" s="3" t="s">
        <v>21</v>
      </c>
      <c r="B28" s="57">
        <f>B38+0.15</f>
        <v>0.35</v>
      </c>
      <c r="C28" s="5" t="s">
        <v>11</v>
      </c>
      <c r="E28" s="11" t="s">
        <v>22</v>
      </c>
      <c r="F28" s="12" t="s">
        <v>65</v>
      </c>
      <c r="G28" s="13" t="s">
        <v>66</v>
      </c>
      <c r="H28" s="13" t="s">
        <v>67</v>
      </c>
      <c r="I28" s="89" t="s">
        <v>26</v>
      </c>
      <c r="J28" s="89" t="s">
        <v>27</v>
      </c>
      <c r="K28" s="90" t="s">
        <v>28</v>
      </c>
      <c r="L28" s="91" t="s">
        <v>29</v>
      </c>
      <c r="M28" s="90" t="s">
        <v>30</v>
      </c>
      <c r="N28" s="22" t="s">
        <v>68</v>
      </c>
      <c r="O28" s="88" t="s">
        <v>32</v>
      </c>
      <c r="P28" s="88" t="s">
        <v>33</v>
      </c>
      <c r="Q28" s="88" t="s">
        <v>34</v>
      </c>
      <c r="R28" s="89" t="s">
        <v>35</v>
      </c>
      <c r="S28" s="90" t="s">
        <v>36</v>
      </c>
      <c r="T28" s="27" t="s">
        <v>26</v>
      </c>
      <c r="U28" s="28" t="s">
        <v>37</v>
      </c>
      <c r="V28" s="28" t="s">
        <v>31</v>
      </c>
      <c r="W28" s="89" t="s">
        <v>35</v>
      </c>
      <c r="X28" s="90" t="s">
        <v>36</v>
      </c>
      <c r="Y28" s="28" t="s">
        <v>27</v>
      </c>
      <c r="Z28" s="113" t="s">
        <v>28</v>
      </c>
      <c r="AA28" s="27" t="s">
        <v>29</v>
      </c>
      <c r="AB28" s="28" t="s">
        <v>37</v>
      </c>
      <c r="AC28" s="28" t="s">
        <v>31</v>
      </c>
      <c r="AD28" s="89" t="s">
        <v>35</v>
      </c>
      <c r="AE28" s="90" t="s">
        <v>36</v>
      </c>
      <c r="AF28" s="90" t="s">
        <v>38</v>
      </c>
      <c r="AG28" s="91" t="s">
        <v>39</v>
      </c>
      <c r="AH28" s="90" t="s">
        <v>40</v>
      </c>
      <c r="AI28" s="28" t="s">
        <v>37</v>
      </c>
      <c r="AJ28" s="28" t="s">
        <v>31</v>
      </c>
      <c r="AK28" s="89" t="s">
        <v>35</v>
      </c>
      <c r="AL28" s="90" t="s">
        <v>36</v>
      </c>
      <c r="AM28" s="90" t="s">
        <v>38</v>
      </c>
      <c r="AN28" s="91" t="s">
        <v>39</v>
      </c>
      <c r="AO28" s="28" t="s">
        <v>37</v>
      </c>
      <c r="AP28" s="28" t="s">
        <v>31</v>
      </c>
      <c r="AQ28" s="89" t="s">
        <v>35</v>
      </c>
      <c r="AR28" s="90" t="s">
        <v>36</v>
      </c>
      <c r="AS28" s="90" t="s">
        <v>38</v>
      </c>
      <c r="AT28" s="91" t="s">
        <v>39</v>
      </c>
      <c r="AU28" s="28" t="s">
        <v>37</v>
      </c>
      <c r="AV28" s="28" t="s">
        <v>31</v>
      </c>
      <c r="AW28" s="89" t="s">
        <v>35</v>
      </c>
      <c r="AX28" s="90" t="s">
        <v>36</v>
      </c>
      <c r="AY28" t="s">
        <v>41</v>
      </c>
      <c r="AZ28" s="28" t="s">
        <v>37</v>
      </c>
      <c r="BA28" s="27" t="s">
        <v>31</v>
      </c>
      <c r="BB28" s="29" t="s">
        <v>42</v>
      </c>
      <c r="BC28" s="5"/>
    </row>
    <row r="29" spans="1:58" ht="15" customHeight="1" x14ac:dyDescent="0.3">
      <c r="A29" s="3" t="s">
        <v>43</v>
      </c>
      <c r="B29" s="4">
        <v>7.4999999999999997E-2</v>
      </c>
      <c r="C29" s="5" t="s">
        <v>11</v>
      </c>
      <c r="D29" s="3"/>
      <c r="E29" s="55"/>
      <c r="F29" s="153">
        <v>6</v>
      </c>
      <c r="G29" s="155">
        <v>0.9</v>
      </c>
      <c r="H29" s="157">
        <v>1</v>
      </c>
      <c r="I29" s="92">
        <f t="shared" ref="I29:I30" si="16">T29</f>
        <v>3.34</v>
      </c>
      <c r="J29" s="92">
        <f t="shared" ref="J29:L30" si="17">Y29</f>
        <v>1.02</v>
      </c>
      <c r="K29" s="114">
        <f t="shared" si="17"/>
        <v>0.2121320343559642</v>
      </c>
      <c r="L29" s="94">
        <f t="shared" si="17"/>
        <v>2.17</v>
      </c>
      <c r="M29" s="95">
        <f t="shared" ref="M29:M30" si="18">AD29</f>
        <v>10</v>
      </c>
      <c r="N29" s="161">
        <f>BC29</f>
        <v>108.37570610128228</v>
      </c>
      <c r="O29" s="119">
        <f>N29*1.05</f>
        <v>113.7944914063464</v>
      </c>
      <c r="P29" s="120">
        <f>1.05*(V29+V30+AC29+AC30+AJ29+AJ30+AP29+AP30+AV29+AV30)</f>
        <v>89.73630340634638</v>
      </c>
      <c r="Q29" s="120">
        <f>1.05*(BA29+BA30)</f>
        <v>24.058188000000001</v>
      </c>
      <c r="R29" s="107">
        <f>$B$34</f>
        <v>3</v>
      </c>
      <c r="S29" s="93" t="str">
        <f>$C$33</f>
        <v>Ø16</v>
      </c>
      <c r="T29" s="30">
        <f>(F29-G29*0.5-H29*0.5)*0.5+G29-0.085</f>
        <v>3.34</v>
      </c>
      <c r="U29" s="31">
        <f>T29*R29</f>
        <v>10.02</v>
      </c>
      <c r="V29" s="32">
        <f>IF(S29="Ø6",0.222,IF(S29="Ø8",0.395,IF(S29="Ø10",0.617,IF(S29="Ø12",0.888,IF(S29="Ø16",1.578,IF(S29="Ø20",2.47,IF(S29="Ø25",3.85,"NO CONT.")))))))*U29</f>
        <v>15.81156</v>
      </c>
      <c r="W29" s="107">
        <f>$B$33</f>
        <v>3</v>
      </c>
      <c r="X29" s="93" t="str">
        <f>$C$34</f>
        <v>Ø16</v>
      </c>
      <c r="Y29" s="34">
        <f>G29+0.15-0.03</f>
        <v>1.02</v>
      </c>
      <c r="Z29" s="114">
        <f>(AG29-AT29)*2/SQRT(2)</f>
        <v>0.2121320343559642</v>
      </c>
      <c r="AA29" s="30">
        <f t="shared" ref="AA29:AA30" si="19">T29-Y29-Z29*SQRT(2)/2</f>
        <v>2.17</v>
      </c>
      <c r="AB29" s="31">
        <f t="shared" ref="AB29:AB30" si="20">(Y29+Z29+AA29)*W29</f>
        <v>10.206396103067892</v>
      </c>
      <c r="AC29" s="32">
        <f>IF(X29="Ø6",0.222,IF(X29="Ø8",0.395,IF(X29="Ø10",0.617,IF(X29="Ø12",0.888,IF(X29="Ø16",1.578,IF(X29="Ø20",2.47,IF(X29="Ø25",3.85,"NO CONT.")))))))*AB29</f>
        <v>16.105693050641133</v>
      </c>
      <c r="AD29" s="110">
        <f>ROUNDUP((AA29-0.28)/$B$36,0)</f>
        <v>10</v>
      </c>
      <c r="AE29" s="111" t="str">
        <f>$B$35</f>
        <v>Ø10</v>
      </c>
      <c r="AF29" s="93">
        <f>$B$27-$B$29*2</f>
        <v>0.30000000000000004</v>
      </c>
      <c r="AG29" s="94">
        <f>$B$28-$B$30*2</f>
        <v>0.24999999999999997</v>
      </c>
      <c r="AH29" s="92">
        <f>$B$36</f>
        <v>0.2</v>
      </c>
      <c r="AI29" s="31">
        <f>(AF29*2+AG29*2+0.14)*AD29</f>
        <v>12.400000000000002</v>
      </c>
      <c r="AJ29" s="32">
        <f>IF(AE29="Ø6",0.222,IF(AE29="Ø8",0.395,IF(AE29="Ø10",0.617,IF(AE29="Ø12",0.888,IF(AE29="Ø16",1.578,IF(AE29="Ø20",2.47,IF(AE29="Ø25",3.85,"NO CONT.")))))))*AI29</f>
        <v>7.6508000000000012</v>
      </c>
      <c r="AK29" s="110">
        <v>2</v>
      </c>
      <c r="AL29" s="111" t="str">
        <f>$B$35</f>
        <v>Ø10</v>
      </c>
      <c r="AM29" s="93">
        <f>$B$27-$B$29*2</f>
        <v>0.30000000000000004</v>
      </c>
      <c r="AN29" s="94">
        <f>$B$28-$B$30*2</f>
        <v>0.24999999999999997</v>
      </c>
      <c r="AO29" s="31">
        <f>(AM29*2+AN29*2+0.14)*AK29</f>
        <v>2.4800000000000004</v>
      </c>
      <c r="AP29" s="32">
        <f>IF(AL29="Ø6",0.222,IF(AL29="Ø8",0.395,IF(AL29="Ø10",0.617,IF(AL29="Ø12",0.888,IF(AL29="Ø16",1.578,IF(AL29="Ø20",2.47,IF(AL29="Ø25",3.85,"NO CONT.")))))))*AO29</f>
        <v>1.5301600000000002</v>
      </c>
      <c r="AQ29" s="110">
        <v>2</v>
      </c>
      <c r="AR29" s="111" t="str">
        <f>$B$35</f>
        <v>Ø10</v>
      </c>
      <c r="AS29" s="93">
        <f>$B$27-$B$29*2</f>
        <v>0.30000000000000004</v>
      </c>
      <c r="AT29" s="94">
        <f>$B$38-$B$40*2</f>
        <v>0.1</v>
      </c>
      <c r="AU29" s="31">
        <f>(AS29*2+AT29*2+0.14)*AQ29</f>
        <v>1.8800000000000001</v>
      </c>
      <c r="AV29" s="33">
        <f>IF(AR29="Ø6",0.222,IF(AR29="Ø8",0.395,IF(AR29="Ø10",0.617,IF(AR29="Ø12",0.888,IF(AR29="Ø16",1.578,IF(AR29="Ø20",2.47,IF(AR29="Ø25",3.85,"NO CONT.")))))))*AU29</f>
        <v>1.1599600000000001</v>
      </c>
      <c r="AW29" s="110">
        <f>B33</f>
        <v>3</v>
      </c>
      <c r="AX29" s="111" t="str">
        <f>$C$33</f>
        <v>Ø16</v>
      </c>
      <c r="AY29">
        <v>2.42</v>
      </c>
      <c r="AZ29" s="77">
        <f>AY29*AW29</f>
        <v>7.26</v>
      </c>
      <c r="BA29" s="32">
        <f>IF(AX29="Ø6",0.222,IF(AX29="Ø8",0.395,IF(AX29="Ø10",0.617,IF(AX29="Ø12",0.888,IF(AX29="Ø16",1.578,IF(AX29="Ø20",2.47,IF(AX29="Ø25",3.85,"NO CONT.")))))))*AZ29</f>
        <v>11.45628</v>
      </c>
      <c r="BB29" s="35">
        <f>BA29+AV29+AP29+AJ29+AC29+V29</f>
        <v>53.714453050641133</v>
      </c>
      <c r="BC29" s="149">
        <f>BB29+BB30</f>
        <v>108.37570610128228</v>
      </c>
    </row>
    <row r="30" spans="1:58" ht="15" customHeight="1" x14ac:dyDescent="0.3">
      <c r="A30" s="3" t="s">
        <v>44</v>
      </c>
      <c r="B30" s="57">
        <v>0.05</v>
      </c>
      <c r="C30" s="5" t="s">
        <v>11</v>
      </c>
      <c r="D30" s="3"/>
      <c r="E30" s="56"/>
      <c r="F30" s="154"/>
      <c r="G30" s="156"/>
      <c r="H30" s="158"/>
      <c r="I30" s="96">
        <f t="shared" si="16"/>
        <v>3.44</v>
      </c>
      <c r="J30" s="96">
        <f t="shared" si="17"/>
        <v>1.1199999999999999</v>
      </c>
      <c r="K30" s="116">
        <f t="shared" si="17"/>
        <v>0.2121320343559642</v>
      </c>
      <c r="L30" s="97">
        <f t="shared" si="17"/>
        <v>2.1700000000000004</v>
      </c>
      <c r="M30" s="98">
        <f t="shared" si="18"/>
        <v>10</v>
      </c>
      <c r="N30" s="162"/>
      <c r="R30" s="108">
        <f>$B$34</f>
        <v>3</v>
      </c>
      <c r="S30" s="109" t="str">
        <f>$C$33</f>
        <v>Ø16</v>
      </c>
      <c r="T30" s="36">
        <f>(F29-G29*0.5-H29*0.5)*0.5+H29-0.085</f>
        <v>3.44</v>
      </c>
      <c r="U30" s="37">
        <f t="shared" ref="U30" si="21">T30*R30</f>
        <v>10.32</v>
      </c>
      <c r="V30" s="38">
        <f t="shared" ref="V30" si="22">IF(S30="Ø6",0.222,IF(S30="Ø8",0.395,IF(S30="Ø10",0.617,IF(S30="Ø12",0.888,IF(S30="Ø16",1.578,IF(S30="Ø20",2.47,IF(S30="Ø25",3.85,"NO CONT.")))))))*U30</f>
        <v>16.284960000000002</v>
      </c>
      <c r="W30" s="108">
        <f>$B$33</f>
        <v>3</v>
      </c>
      <c r="X30" s="109" t="str">
        <f>$C$34</f>
        <v>Ø16</v>
      </c>
      <c r="Y30" s="40">
        <f>H29+0.15-0.03</f>
        <v>1.1199999999999999</v>
      </c>
      <c r="Z30" s="114">
        <f>(AG30-AT30)*2/SQRT(2)</f>
        <v>0.2121320343559642</v>
      </c>
      <c r="AA30" s="36">
        <f t="shared" si="19"/>
        <v>2.1700000000000004</v>
      </c>
      <c r="AB30" s="37">
        <f t="shared" si="20"/>
        <v>10.506396103067894</v>
      </c>
      <c r="AC30" s="38">
        <f t="shared" ref="AC30" si="23">IF(X30="Ø6",0.222,IF(X30="Ø8",0.395,IF(X30="Ø10",0.617,IF(X30="Ø12",0.888,IF(X30="Ø16",1.578,IF(X30="Ø20",2.47,IF(X30="Ø25",3.85,"NO CONT.")))))))*AB30</f>
        <v>16.579093050641138</v>
      </c>
      <c r="AD30" s="89">
        <f>ROUNDUP((AA30-0.28)/$B$36,0)</f>
        <v>10</v>
      </c>
      <c r="AE30" s="90" t="str">
        <f>$B$35</f>
        <v>Ø10</v>
      </c>
      <c r="AF30" s="109">
        <f>$B$27-$B$29*2</f>
        <v>0.30000000000000004</v>
      </c>
      <c r="AG30" s="112">
        <f>$B$28-$B$30*2</f>
        <v>0.24999999999999997</v>
      </c>
      <c r="AH30" s="123">
        <f>$B$36</f>
        <v>0.2</v>
      </c>
      <c r="AI30" s="37">
        <f>(AF30*2+AG30*2+0.14)*AD30</f>
        <v>12.400000000000002</v>
      </c>
      <c r="AJ30" s="38">
        <f>IF(AE30="Ø6",0.222,IF(AE30="Ø8",0.395,IF(AE30="Ø10",0.617,IF(AE30="Ø12",0.888,IF(AE30="Ø16",1.578,IF(AE30="Ø20",2.47,IF(AE30="Ø25",3.85,"NO CONT.")))))))*AI30</f>
        <v>7.6508000000000012</v>
      </c>
      <c r="AK30" s="89">
        <v>2</v>
      </c>
      <c r="AL30" s="90" t="str">
        <f>$B$35</f>
        <v>Ø10</v>
      </c>
      <c r="AM30" s="109">
        <f>$B$27-$B$29*2</f>
        <v>0.30000000000000004</v>
      </c>
      <c r="AN30" s="112">
        <f>$B$28-$B$30*2</f>
        <v>0.24999999999999997</v>
      </c>
      <c r="AO30" s="37">
        <f t="shared" ref="AO30" si="24">(AM30*2+AN30*2+0.14)*AK30</f>
        <v>2.4800000000000004</v>
      </c>
      <c r="AP30" s="38">
        <f t="shared" ref="AP30" si="25">IF(AL30="Ø6",0.222,IF(AL30="Ø8",0.395,IF(AL30="Ø10",0.617,IF(AL30="Ø12",0.888,IF(AL30="Ø16",1.578,IF(AL30="Ø20",2.47,IF(AL30="Ø25",3.85,"NO CONT.")))))))*AO30</f>
        <v>1.5301600000000002</v>
      </c>
      <c r="AQ30" s="89">
        <v>2</v>
      </c>
      <c r="AR30" s="90" t="str">
        <f>$B$35</f>
        <v>Ø10</v>
      </c>
      <c r="AS30" s="109">
        <f>$B$27-$B$29*2</f>
        <v>0.30000000000000004</v>
      </c>
      <c r="AT30" s="112">
        <f>$B$38-$B$40*2</f>
        <v>0.1</v>
      </c>
      <c r="AU30" s="37">
        <f t="shared" ref="AU30" si="26">(AS30*2+AT30*2+0.14)*AQ30</f>
        <v>1.8800000000000001</v>
      </c>
      <c r="AV30" s="39">
        <f t="shared" ref="AV30" si="27">IF(AR30="Ø6",0.222,IF(AR30="Ø8",0.395,IF(AR30="Ø10",0.617,IF(AR30="Ø12",0.888,IF(AR30="Ø16",1.578,IF(AR30="Ø20",2.47,IF(AR30="Ø25",3.85,"NO CONT.")))))))*AU30</f>
        <v>1.1599600000000001</v>
      </c>
      <c r="AW30" s="118">
        <f>B33</f>
        <v>3</v>
      </c>
      <c r="AX30" s="99" t="str">
        <f>$C$33</f>
        <v>Ø16</v>
      </c>
      <c r="AY30">
        <v>2.42</v>
      </c>
      <c r="AZ30" s="80">
        <f t="shared" ref="AZ30" si="28">AY30*AW30</f>
        <v>7.26</v>
      </c>
      <c r="BA30" s="41">
        <f t="shared" ref="BA30" si="29">IF(AX30="Ø6",0.222,IF(AX30="Ø8",0.395,IF(AX30="Ø10",0.617,IF(AX30="Ø12",0.888,IF(AX30="Ø16",1.578,IF(AX30="Ø20",2.47,IF(AX30="Ø25",3.85,"NO CONT.")))))))*AZ30</f>
        <v>11.45628</v>
      </c>
      <c r="BB30" s="35">
        <f>BA30+AV30+AP30+AJ30+AC30+V30</f>
        <v>54.661253050641136</v>
      </c>
      <c r="BC30" s="150"/>
    </row>
    <row r="31" spans="1:58" ht="67.5" customHeight="1" x14ac:dyDescent="0.3">
      <c r="A31" s="3"/>
      <c r="B31" s="4"/>
      <c r="C31" s="5"/>
      <c r="D31" s="3"/>
      <c r="E31"/>
      <c r="F31"/>
      <c r="G31"/>
      <c r="H31"/>
      <c r="I31"/>
      <c r="J31"/>
      <c r="K31" s="117" t="s">
        <v>45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 s="133"/>
      <c r="BD31"/>
      <c r="BE31"/>
      <c r="BF31"/>
    </row>
    <row r="32" spans="1:58" ht="15" customHeight="1" x14ac:dyDescent="0.3">
      <c r="A32" s="18" t="s">
        <v>46</v>
      </c>
      <c r="C32" s="5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134" t="s">
        <v>47</v>
      </c>
      <c r="U32" s="134"/>
      <c r="V32" s="134"/>
      <c r="W32" s="134"/>
      <c r="X32" s="134"/>
      <c r="Y32" s="134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 s="133"/>
      <c r="BD32"/>
      <c r="BE32"/>
      <c r="BF32"/>
    </row>
    <row r="33" spans="1:58" ht="15" customHeight="1" x14ac:dyDescent="0.3">
      <c r="A33" s="3" t="s">
        <v>48</v>
      </c>
      <c r="B33" s="102">
        <v>3</v>
      </c>
      <c r="C33" s="103" t="s">
        <v>49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135" t="s">
        <v>69</v>
      </c>
      <c r="U33" s="135"/>
      <c r="V33" s="135"/>
      <c r="W33" s="135" t="s">
        <v>51</v>
      </c>
      <c r="X33" s="135"/>
      <c r="Y33" s="135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 s="133"/>
      <c r="BD33"/>
      <c r="BE33"/>
      <c r="BF33"/>
    </row>
    <row r="34" spans="1:58" ht="15" customHeight="1" x14ac:dyDescent="0.3">
      <c r="A34" s="3" t="s">
        <v>52</v>
      </c>
      <c r="B34" s="102">
        <f>B33</f>
        <v>3</v>
      </c>
      <c r="C34" s="103" t="str">
        <f>C33</f>
        <v>Ø16</v>
      </c>
      <c r="D34" s="53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127" t="s">
        <v>53</v>
      </c>
      <c r="U34" s="127" t="s">
        <v>54</v>
      </c>
      <c r="V34" s="127" t="s">
        <v>55</v>
      </c>
      <c r="W34" s="127" t="s">
        <v>53</v>
      </c>
      <c r="X34" s="127" t="s">
        <v>54</v>
      </c>
      <c r="Y34" s="127" t="s">
        <v>55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 s="133"/>
      <c r="BD34"/>
      <c r="BE34"/>
      <c r="BF34"/>
    </row>
    <row r="35" spans="1:58" ht="15" customHeight="1" x14ac:dyDescent="0.3">
      <c r="A35" s="3" t="s">
        <v>56</v>
      </c>
      <c r="B35" s="104" t="s">
        <v>57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 s="126" t="s">
        <v>84</v>
      </c>
      <c r="T35" s="122">
        <f>AS29+($B$30*2)</f>
        <v>0.4</v>
      </c>
      <c r="U35" s="122">
        <f>AT29+($B$29*2)</f>
        <v>0.25</v>
      </c>
      <c r="V35" s="122">
        <f>J29</f>
        <v>1.02</v>
      </c>
      <c r="W35" s="122">
        <f>AF29+($B$30*2)</f>
        <v>0.4</v>
      </c>
      <c r="X35" s="122">
        <f>AG29+($B$29*2)</f>
        <v>0.39999999999999997</v>
      </c>
      <c r="Y35" s="122">
        <f>I29-J29</f>
        <v>2.3199999999999998</v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s="133"/>
      <c r="BD35"/>
      <c r="BE35"/>
      <c r="BF35"/>
    </row>
    <row r="36" spans="1:58" ht="15" customHeight="1" x14ac:dyDescent="0.3">
      <c r="A36" s="8" t="s">
        <v>58</v>
      </c>
      <c r="B36" s="105">
        <v>0.2</v>
      </c>
      <c r="C36" s="5" t="s">
        <v>11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 s="126" t="s">
        <v>85</v>
      </c>
      <c r="T36" s="122">
        <f>AS30+($B$30*2)</f>
        <v>0.4</v>
      </c>
      <c r="U36" s="122">
        <f>AT30+($B$29*2)</f>
        <v>0.25</v>
      </c>
      <c r="V36" s="122">
        <f>J30</f>
        <v>1.1199999999999999</v>
      </c>
      <c r="W36" s="122">
        <f>AF30+($B$30*2)</f>
        <v>0.4</v>
      </c>
      <c r="X36" s="122">
        <f>AG30+($B$29*2)</f>
        <v>0.39999999999999997</v>
      </c>
      <c r="Y36" s="122">
        <f>I30-J30</f>
        <v>2.3200000000000003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 s="133"/>
      <c r="BD36"/>
      <c r="BE36"/>
      <c r="BF36"/>
    </row>
    <row r="37" spans="1:58" ht="15" customHeight="1" x14ac:dyDescent="0.3">
      <c r="A37" s="10" t="s">
        <v>59</v>
      </c>
      <c r="B37" s="7"/>
      <c r="C37" s="8"/>
      <c r="D37" s="9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 s="133"/>
      <c r="BD37"/>
      <c r="BE37"/>
      <c r="BF37"/>
    </row>
    <row r="38" spans="1:58" ht="15" customHeight="1" x14ac:dyDescent="0.3">
      <c r="A38" s="3" t="s">
        <v>60</v>
      </c>
      <c r="B38" s="105">
        <v>0.2</v>
      </c>
      <c r="C38" s="52" t="s">
        <v>11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s="133"/>
      <c r="BD38"/>
      <c r="BE38"/>
      <c r="BF38"/>
    </row>
    <row r="39" spans="1:58" ht="15" customHeight="1" x14ac:dyDescent="0.3">
      <c r="A39" s="3"/>
      <c r="B39" s="54" t="s">
        <v>61</v>
      </c>
      <c r="C39" s="8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 s="133"/>
      <c r="BD39"/>
      <c r="BE39"/>
      <c r="BF39"/>
    </row>
    <row r="40" spans="1:58" ht="15" customHeight="1" x14ac:dyDescent="0.3">
      <c r="A40" s="3" t="s">
        <v>62</v>
      </c>
      <c r="B40" s="106">
        <v>0.05</v>
      </c>
      <c r="C40" s="5" t="s">
        <v>11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s="133"/>
      <c r="BD40"/>
      <c r="BE40"/>
      <c r="BF40"/>
    </row>
    <row r="41" spans="1:58" ht="15" customHeight="1" x14ac:dyDescent="0.3">
      <c r="C41" s="17"/>
      <c r="D41" s="4"/>
      <c r="M41" s="64" t="s">
        <v>63</v>
      </c>
      <c r="R41" s="23"/>
      <c r="S41" s="23"/>
      <c r="T41" s="23"/>
      <c r="U41" s="23"/>
      <c r="V41" s="23"/>
      <c r="W41" s="23"/>
      <c r="X41" s="23"/>
      <c r="Y41" s="23"/>
      <c r="Z41" s="48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spans="1:58" ht="15" customHeight="1" x14ac:dyDescent="0.3">
      <c r="C42" s="5"/>
      <c r="R42" s="23"/>
      <c r="S42" s="23"/>
      <c r="T42" s="23"/>
      <c r="U42" s="23"/>
      <c r="V42" s="23"/>
      <c r="W42" s="23"/>
      <c r="X42" s="23"/>
      <c r="Y42" s="23"/>
      <c r="Z42" s="23"/>
      <c r="AD42" s="5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8" s="87" customFormat="1" ht="15" customHeight="1" x14ac:dyDescent="0.3">
      <c r="A43" s="85" t="s">
        <v>87</v>
      </c>
      <c r="B43" s="85"/>
      <c r="C43" s="85"/>
      <c r="D43" s="85"/>
      <c r="E43" s="85"/>
      <c r="F43" s="85" t="s">
        <v>70</v>
      </c>
      <c r="G43" s="85" t="s">
        <v>71</v>
      </c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6"/>
      <c r="AA43" s="86"/>
      <c r="AB43" s="86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</row>
    <row r="44" spans="1:58" ht="15" customHeight="1" x14ac:dyDescent="0.3">
      <c r="A44" s="2" t="s">
        <v>7</v>
      </c>
      <c r="Z44" s="49"/>
      <c r="AA44" s="20"/>
      <c r="AB44" s="20"/>
    </row>
    <row r="45" spans="1:58" ht="15" customHeight="1" x14ac:dyDescent="0.3">
      <c r="A45" s="18" t="s">
        <v>8</v>
      </c>
      <c r="E45" s="18"/>
      <c r="H45" s="23"/>
      <c r="R45" s="165" t="s">
        <v>9</v>
      </c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24"/>
      <c r="BC45" s="5"/>
    </row>
    <row r="46" spans="1:58" ht="15" customHeight="1" x14ac:dyDescent="0.3">
      <c r="A46" s="3" t="s">
        <v>10</v>
      </c>
      <c r="B46" s="57">
        <v>0.5</v>
      </c>
      <c r="C46" s="5" t="s">
        <v>11</v>
      </c>
      <c r="E46" s="10"/>
      <c r="G46" s="6"/>
      <c r="I46" s="69" t="s">
        <v>12</v>
      </c>
      <c r="J46" s="166" t="s">
        <v>13</v>
      </c>
      <c r="K46" s="168"/>
      <c r="L46" s="167"/>
      <c r="M46" s="70" t="s">
        <v>14</v>
      </c>
      <c r="N46" s="65" t="s">
        <v>72</v>
      </c>
      <c r="R46" s="136" t="s">
        <v>12</v>
      </c>
      <c r="S46" s="137"/>
      <c r="T46" s="137"/>
      <c r="U46" s="137"/>
      <c r="V46" s="138"/>
      <c r="W46" s="136" t="s">
        <v>13</v>
      </c>
      <c r="X46" s="137"/>
      <c r="Y46" s="137"/>
      <c r="Z46" s="137"/>
      <c r="AA46" s="137"/>
      <c r="AB46" s="137"/>
      <c r="AC46" s="138"/>
      <c r="AD46" s="136" t="s">
        <v>16</v>
      </c>
      <c r="AE46" s="137"/>
      <c r="AF46" s="137"/>
      <c r="AG46" s="137"/>
      <c r="AH46" s="137"/>
      <c r="AI46" s="137"/>
      <c r="AJ46" s="138"/>
      <c r="AK46" s="136" t="s">
        <v>17</v>
      </c>
      <c r="AL46" s="137"/>
      <c r="AM46" s="137"/>
      <c r="AN46" s="137"/>
      <c r="AO46" s="137"/>
      <c r="AP46" s="138"/>
      <c r="AQ46" s="136" t="s">
        <v>18</v>
      </c>
      <c r="AR46" s="137"/>
      <c r="AS46" s="137"/>
      <c r="AT46" s="137"/>
      <c r="AU46" s="137"/>
      <c r="AV46" s="137"/>
      <c r="AW46" s="136" t="s">
        <v>19</v>
      </c>
      <c r="AX46" s="137"/>
      <c r="AY46" s="137"/>
      <c r="AZ46" s="137"/>
      <c r="BA46" s="138"/>
      <c r="BB46" s="25" t="s">
        <v>20</v>
      </c>
      <c r="BC46" s="5"/>
    </row>
    <row r="47" spans="1:58" ht="15" customHeight="1" x14ac:dyDescent="0.3">
      <c r="A47" s="3" t="s">
        <v>21</v>
      </c>
      <c r="B47" s="57">
        <f>B57+0.15</f>
        <v>0.35</v>
      </c>
      <c r="C47" s="5" t="s">
        <v>11</v>
      </c>
      <c r="E47" s="11" t="s">
        <v>22</v>
      </c>
      <c r="F47" s="12" t="s">
        <v>65</v>
      </c>
      <c r="G47" s="13" t="s">
        <v>66</v>
      </c>
      <c r="H47" s="13" t="s">
        <v>67</v>
      </c>
      <c r="I47" s="89" t="s">
        <v>26</v>
      </c>
      <c r="J47" s="89" t="s">
        <v>27</v>
      </c>
      <c r="K47" s="90" t="s">
        <v>28</v>
      </c>
      <c r="L47" s="91" t="s">
        <v>29</v>
      </c>
      <c r="M47" s="90" t="s">
        <v>30</v>
      </c>
      <c r="N47" s="66" t="s">
        <v>73</v>
      </c>
      <c r="O47" s="88" t="s">
        <v>32</v>
      </c>
      <c r="P47" s="88" t="s">
        <v>33</v>
      </c>
      <c r="Q47" s="88" t="s">
        <v>34</v>
      </c>
      <c r="R47" s="89" t="s">
        <v>35</v>
      </c>
      <c r="S47" s="90" t="s">
        <v>36</v>
      </c>
      <c r="T47" s="27" t="s">
        <v>26</v>
      </c>
      <c r="U47" s="28" t="s">
        <v>37</v>
      </c>
      <c r="V47" s="28" t="s">
        <v>31</v>
      </c>
      <c r="W47" s="89" t="s">
        <v>35</v>
      </c>
      <c r="X47" s="90" t="s">
        <v>36</v>
      </c>
      <c r="Y47" s="28" t="s">
        <v>27</v>
      </c>
      <c r="Z47" s="113" t="s">
        <v>28</v>
      </c>
      <c r="AA47" s="27" t="s">
        <v>29</v>
      </c>
      <c r="AB47" s="28" t="s">
        <v>37</v>
      </c>
      <c r="AC47" s="28" t="s">
        <v>31</v>
      </c>
      <c r="AD47" s="89" t="s">
        <v>35</v>
      </c>
      <c r="AE47" s="90" t="s">
        <v>36</v>
      </c>
      <c r="AF47" s="90" t="s">
        <v>38</v>
      </c>
      <c r="AG47" s="91" t="s">
        <v>39</v>
      </c>
      <c r="AH47" s="90" t="s">
        <v>40</v>
      </c>
      <c r="AI47" s="28" t="s">
        <v>37</v>
      </c>
      <c r="AJ47" s="28" t="s">
        <v>31</v>
      </c>
      <c r="AK47" s="89" t="s">
        <v>35</v>
      </c>
      <c r="AL47" s="90" t="s">
        <v>36</v>
      </c>
      <c r="AM47" s="90" t="s">
        <v>38</v>
      </c>
      <c r="AN47" s="91" t="s">
        <v>39</v>
      </c>
      <c r="AO47" s="28" t="s">
        <v>37</v>
      </c>
      <c r="AP47" s="28" t="s">
        <v>31</v>
      </c>
      <c r="AQ47" s="89" t="s">
        <v>35</v>
      </c>
      <c r="AR47" s="90" t="s">
        <v>36</v>
      </c>
      <c r="AS47" s="90" t="s">
        <v>38</v>
      </c>
      <c r="AT47" s="91" t="s">
        <v>39</v>
      </c>
      <c r="AU47" s="28" t="s">
        <v>37</v>
      </c>
      <c r="AV47" s="28" t="s">
        <v>31</v>
      </c>
      <c r="AW47" s="89" t="s">
        <v>35</v>
      </c>
      <c r="AX47" s="90" t="s">
        <v>36</v>
      </c>
      <c r="AY47" t="s">
        <v>41</v>
      </c>
      <c r="AZ47" s="28" t="s">
        <v>37</v>
      </c>
      <c r="BA47" s="27" t="s">
        <v>31</v>
      </c>
      <c r="BB47" s="29" t="s">
        <v>42</v>
      </c>
      <c r="BC47" s="5"/>
    </row>
    <row r="48" spans="1:58" ht="15" customHeight="1" x14ac:dyDescent="0.3">
      <c r="A48" s="3" t="s">
        <v>43</v>
      </c>
      <c r="B48" s="4">
        <v>7.4999999999999997E-2</v>
      </c>
      <c r="C48" s="5" t="s">
        <v>11</v>
      </c>
      <c r="D48" s="3"/>
      <c r="E48" s="55"/>
      <c r="F48" s="153">
        <v>3.7</v>
      </c>
      <c r="G48" s="155">
        <v>1.5</v>
      </c>
      <c r="H48" s="157">
        <v>0.8</v>
      </c>
      <c r="I48" s="92">
        <f t="shared" ref="I48:I49" si="30">T48</f>
        <v>2.6900000000000004</v>
      </c>
      <c r="J48" s="92">
        <f t="shared" ref="J48:L49" si="31">Y48</f>
        <v>1.6199999999999999</v>
      </c>
      <c r="K48" s="114">
        <f>Z48</f>
        <v>0.2121320343559642</v>
      </c>
      <c r="L48" s="94">
        <f>AA48</f>
        <v>0.9200000000000006</v>
      </c>
      <c r="M48" s="95">
        <f t="shared" ref="M48:M49" si="32">AD48</f>
        <v>4</v>
      </c>
      <c r="N48" s="161">
        <f>BC48</f>
        <v>73.482186101282281</v>
      </c>
      <c r="O48" s="119">
        <f>N48*1.05</f>
        <v>77.156295406346402</v>
      </c>
      <c r="P48" s="120">
        <f>1.05*(V48+V49+AC48+AC49+AJ48+AJ49+AP48+AP49+AV48+AV49)</f>
        <v>60.255915406346389</v>
      </c>
      <c r="Q48" s="120">
        <f>1.05*(BA48+BA49)</f>
        <v>16.900380000000002</v>
      </c>
      <c r="R48" s="107">
        <f>$B$53</f>
        <v>3</v>
      </c>
      <c r="S48" s="93" t="str">
        <f>$C$53</f>
        <v>Ø16</v>
      </c>
      <c r="T48" s="30">
        <f>(F48-G48*0.5-H48*0.5)*0.5+G48-0.085</f>
        <v>2.6900000000000004</v>
      </c>
      <c r="U48" s="31">
        <f>T48*R48</f>
        <v>8.07</v>
      </c>
      <c r="V48" s="32">
        <f>IF(S48="Ø6",0.222,IF(S48="Ø8",0.395,IF(S48="Ø10",0.617,IF(S48="Ø12",0.888,IF(S48="Ø16",1.578,IF(S48="Ø20",2.47,IF(S48="Ø25",3.85,"NO CONT.")))))))*U48</f>
        <v>12.73446</v>
      </c>
      <c r="W48" s="107">
        <f>$B$52</f>
        <v>3</v>
      </c>
      <c r="X48" s="93" t="str">
        <f>$C$52</f>
        <v>Ø16</v>
      </c>
      <c r="Y48" s="34">
        <f>G48+0.15-0.03</f>
        <v>1.6199999999999999</v>
      </c>
      <c r="Z48" s="114">
        <f>(AG48-AT48)*2/SQRT(2)</f>
        <v>0.2121320343559642</v>
      </c>
      <c r="AA48" s="30">
        <f>T48-Y48-Z48*SQRT(2)/2</f>
        <v>0.9200000000000006</v>
      </c>
      <c r="AB48" s="31">
        <f t="shared" ref="AB48:AB49" si="33">(Y48+Z48+AA48)*W48</f>
        <v>8.2563961030678943</v>
      </c>
      <c r="AC48" s="32">
        <f>IF(X48="Ø6",0.222,IF(X48="Ø8",0.395,IF(X48="Ø10",0.617,IF(X48="Ø12",0.888,IF(X48="Ø16",1.578,IF(X48="Ø20",2.47,IF(X48="Ø25",3.85,"NO CONT.")))))))*AB48</f>
        <v>13.028593050641138</v>
      </c>
      <c r="AD48" s="110">
        <f>ROUNDUP((AA48-0.28)/$B$55,0)</f>
        <v>4</v>
      </c>
      <c r="AE48" s="111" t="str">
        <f>$B$54</f>
        <v>Ø10</v>
      </c>
      <c r="AF48" s="93">
        <f>$B$46-$B$48*2</f>
        <v>0.35</v>
      </c>
      <c r="AG48" s="94">
        <f>$B$47-$B$49*2</f>
        <v>0.24999999999999997</v>
      </c>
      <c r="AH48" s="92">
        <f>$B$55</f>
        <v>0.2</v>
      </c>
      <c r="AI48" s="31">
        <f>(AF48*2+AG48*2+0.14)*AD48</f>
        <v>5.3599999999999994</v>
      </c>
      <c r="AJ48" s="32">
        <f>IF(AE48="Ø6",0.222,IF(AE48="Ø8",0.395,IF(AE48="Ø10",0.617,IF(AE48="Ø12",0.888,IF(AE48="Ø16",1.578,IF(AE48="Ø20",2.47,IF(AE48="Ø25",3.85,"NO CONT.")))))))*AI48</f>
        <v>3.3071199999999994</v>
      </c>
      <c r="AK48" s="110">
        <v>2</v>
      </c>
      <c r="AL48" s="111" t="str">
        <f>$B$35</f>
        <v>Ø10</v>
      </c>
      <c r="AM48" s="93">
        <f>$B$46-$B$48*2</f>
        <v>0.35</v>
      </c>
      <c r="AN48" s="94">
        <f>$B$47-$B$49*2</f>
        <v>0.24999999999999997</v>
      </c>
      <c r="AO48" s="31">
        <f>(AM48*2+AN48*2+0.14)*AK48</f>
        <v>2.6799999999999997</v>
      </c>
      <c r="AP48" s="32">
        <f>IF(AL48="Ø6",0.222,IF(AL48="Ø8",0.395,IF(AL48="Ø10",0.617,IF(AL48="Ø12",0.888,IF(AL48="Ø16",1.578,IF(AL48="Ø20",2.47,IF(AL48="Ø25",3.85,"NO CONT.")))))))*AO48</f>
        <v>1.6535599999999997</v>
      </c>
      <c r="AQ48" s="110">
        <v>2</v>
      </c>
      <c r="AR48" s="111" t="str">
        <f>$B$54</f>
        <v>Ø10</v>
      </c>
      <c r="AS48" s="93">
        <f>$B$46-$B$48*2</f>
        <v>0.35</v>
      </c>
      <c r="AT48" s="94">
        <f>$B$57-$B$59*2</f>
        <v>0.1</v>
      </c>
      <c r="AU48" s="31">
        <f>(AS48*2+AT48*2+0.14)*AQ48</f>
        <v>2.08</v>
      </c>
      <c r="AV48" s="33">
        <f>IF(AR48="Ø6",0.222,IF(AR48="Ø8",0.395,IF(AR48="Ø10",0.617,IF(AR48="Ø12",0.888,IF(AR48="Ø16",1.578,IF(AR48="Ø20",2.47,IF(AR48="Ø25",3.85,"NO CONT.")))))))*AU48</f>
        <v>1.2833600000000001</v>
      </c>
      <c r="AW48" s="110">
        <f>B52</f>
        <v>3</v>
      </c>
      <c r="AX48" s="111" t="str">
        <f>$C$52</f>
        <v>Ø16</v>
      </c>
      <c r="AY48">
        <v>1.7</v>
      </c>
      <c r="AZ48" s="31">
        <f>AY48*AW48</f>
        <v>5.0999999999999996</v>
      </c>
      <c r="BA48" s="32">
        <f>IF(AX48="Ø6",0.222,IF(AX48="Ø8",0.395,IF(AX48="Ø10",0.617,IF(AX48="Ø12",0.888,IF(AX48="Ø16",1.578,IF(AX48="Ø20",2.47,IF(AX48="Ø25",3.85,"NO CONT.")))))))*AZ48</f>
        <v>8.0478000000000005</v>
      </c>
      <c r="BB48" s="45">
        <f>BA48+AV48+AP48+AJ48+AC48+V48</f>
        <v>40.054893050641134</v>
      </c>
      <c r="BC48" s="149">
        <f>BB48+BB49</f>
        <v>73.482186101282281</v>
      </c>
    </row>
    <row r="49" spans="1:58" ht="15" customHeight="1" x14ac:dyDescent="0.3">
      <c r="A49" s="3" t="s">
        <v>44</v>
      </c>
      <c r="B49" s="57">
        <v>0.05</v>
      </c>
      <c r="C49" s="5" t="s">
        <v>11</v>
      </c>
      <c r="D49" s="3"/>
      <c r="E49" s="56"/>
      <c r="F49" s="154"/>
      <c r="G49" s="156"/>
      <c r="H49" s="158"/>
      <c r="I49" s="96">
        <f t="shared" si="30"/>
        <v>1.9900000000000002</v>
      </c>
      <c r="J49" s="96">
        <f t="shared" si="31"/>
        <v>0.92</v>
      </c>
      <c r="K49" s="116">
        <f t="shared" si="31"/>
        <v>0.2121320343559642</v>
      </c>
      <c r="L49" s="97">
        <f t="shared" si="31"/>
        <v>0.92000000000000037</v>
      </c>
      <c r="M49" s="98">
        <f t="shared" si="32"/>
        <v>4</v>
      </c>
      <c r="N49" s="162"/>
      <c r="R49" s="108">
        <f>$B$53</f>
        <v>3</v>
      </c>
      <c r="S49" s="109" t="str">
        <f>$C$53</f>
        <v>Ø16</v>
      </c>
      <c r="T49" s="36">
        <f>(F48-G48*0.5-H48*0.5)*0.5+H48-0.085</f>
        <v>1.9900000000000002</v>
      </c>
      <c r="U49" s="37">
        <f t="shared" ref="U49" si="34">T49*R49</f>
        <v>5.9700000000000006</v>
      </c>
      <c r="V49" s="38">
        <f t="shared" ref="V49" si="35">IF(S49="Ø6",0.222,IF(S49="Ø8",0.395,IF(S49="Ø10",0.617,IF(S49="Ø12",0.888,IF(S49="Ø16",1.578,IF(S49="Ø20",2.47,IF(S49="Ø25",3.85,"NO CONT.")))))))*U49</f>
        <v>9.4206600000000016</v>
      </c>
      <c r="W49" s="108">
        <f>$B$52</f>
        <v>3</v>
      </c>
      <c r="X49" s="109" t="str">
        <f>$C$52</f>
        <v>Ø16</v>
      </c>
      <c r="Y49" s="40">
        <f>H48+0.15-0.03</f>
        <v>0.92</v>
      </c>
      <c r="Z49" s="114">
        <f>(AG49-AT49)*2/SQRT(2)</f>
        <v>0.2121320343559642</v>
      </c>
      <c r="AA49" s="36">
        <f t="shared" ref="AA49" si="36">T49-Y49-Z49*SQRT(2)/2</f>
        <v>0.92000000000000037</v>
      </c>
      <c r="AB49" s="37">
        <f t="shared" si="33"/>
        <v>6.1563961030678938</v>
      </c>
      <c r="AC49" s="38">
        <f t="shared" ref="AC49" si="37">IF(X49="Ø6",0.222,IF(X49="Ø8",0.395,IF(X49="Ø10",0.617,IF(X49="Ø12",0.888,IF(X49="Ø16",1.578,IF(X49="Ø20",2.47,IF(X49="Ø25",3.85,"NO CONT.")))))))*AB49</f>
        <v>9.714793050641136</v>
      </c>
      <c r="AD49" s="89">
        <f>ROUNDUP((AA49-0.28)/$B$55,0)</f>
        <v>4</v>
      </c>
      <c r="AE49" s="90" t="str">
        <f>$B$54</f>
        <v>Ø10</v>
      </c>
      <c r="AF49" s="109">
        <f>$B$46-$B$48*2</f>
        <v>0.35</v>
      </c>
      <c r="AG49" s="112">
        <f>$B$47-$B$49*2</f>
        <v>0.24999999999999997</v>
      </c>
      <c r="AH49" s="123">
        <f>$B$55</f>
        <v>0.2</v>
      </c>
      <c r="AI49" s="37">
        <f t="shared" ref="AI49" si="38">(AF49*2+AG49*2+0.14)*AD49</f>
        <v>5.3599999999999994</v>
      </c>
      <c r="AJ49" s="38">
        <f t="shared" ref="AJ49" si="39">IF(AE49="Ø6",0.222,IF(AE49="Ø8",0.395,IF(AE49="Ø10",0.617,IF(AE49="Ø12",0.888,IF(AE49="Ø16",1.578,IF(AE49="Ø20",2.47,IF(AE49="Ø25",3.85,"NO CONT.")))))))*AI49</f>
        <v>3.3071199999999994</v>
      </c>
      <c r="AK49" s="89">
        <v>2</v>
      </c>
      <c r="AL49" s="90" t="str">
        <f>$B$35</f>
        <v>Ø10</v>
      </c>
      <c r="AM49" s="109">
        <f>$B$46-$B$48*2</f>
        <v>0.35</v>
      </c>
      <c r="AN49" s="112">
        <f>$B$47-$B$49*2</f>
        <v>0.24999999999999997</v>
      </c>
      <c r="AO49" s="37">
        <f t="shared" ref="AO49" si="40">(AM49*2+AN49*2+0.14)*AK49</f>
        <v>2.6799999999999997</v>
      </c>
      <c r="AP49" s="38">
        <f t="shared" ref="AP49" si="41">IF(AL49="Ø6",0.222,IF(AL49="Ø8",0.395,IF(AL49="Ø10",0.617,IF(AL49="Ø12",0.888,IF(AL49="Ø16",1.578,IF(AL49="Ø20",2.47,IF(AL49="Ø25",3.85,"NO CONT.")))))))*AO49</f>
        <v>1.6535599999999997</v>
      </c>
      <c r="AQ49" s="89">
        <v>2</v>
      </c>
      <c r="AR49" s="90" t="str">
        <f>$B$54</f>
        <v>Ø10</v>
      </c>
      <c r="AS49" s="109">
        <f>$B$46-$B$48*2</f>
        <v>0.35</v>
      </c>
      <c r="AT49" s="112">
        <f>$B$57-$B$59*2</f>
        <v>0.1</v>
      </c>
      <c r="AU49" s="37">
        <f t="shared" ref="AU49" si="42">(AS49*2+AT49*2+0.14)*AQ49</f>
        <v>2.08</v>
      </c>
      <c r="AV49" s="39">
        <f t="shared" ref="AV49" si="43">IF(AR49="Ø6",0.222,IF(AR49="Ø8",0.395,IF(AR49="Ø10",0.617,IF(AR49="Ø12",0.888,IF(AR49="Ø16",1.578,IF(AR49="Ø20",2.47,IF(AR49="Ø25",3.85,"NO CONT.")))))))*AU49</f>
        <v>1.2833600000000001</v>
      </c>
      <c r="AW49" s="118">
        <f>B53</f>
        <v>3</v>
      </c>
      <c r="AX49" s="99" t="str">
        <f>$C$53</f>
        <v>Ø16</v>
      </c>
      <c r="AY49">
        <v>1.7</v>
      </c>
      <c r="AZ49" s="46">
        <f t="shared" ref="AZ49" si="44">AY49*AW49</f>
        <v>5.0999999999999996</v>
      </c>
      <c r="BA49" s="41">
        <f t="shared" ref="BA49" si="45">IF(AX49="Ø6",0.222,IF(AX49="Ø8",0.395,IF(AX49="Ø10",0.617,IF(AX49="Ø12",0.888,IF(AX49="Ø16",1.578,IF(AX49="Ø20",2.47,IF(AX49="Ø25",3.85,"NO CONT.")))))))*AZ49</f>
        <v>8.0478000000000005</v>
      </c>
      <c r="BB49" s="35">
        <f>BA49+AV49+AP49+AJ49+AC49+V49</f>
        <v>33.42729305064114</v>
      </c>
      <c r="BC49" s="150"/>
    </row>
    <row r="50" spans="1:58" ht="60" customHeight="1" x14ac:dyDescent="0.3">
      <c r="A50" s="3"/>
      <c r="B50" s="4"/>
      <c r="C50" s="5"/>
      <c r="D50" s="3"/>
      <c r="E50"/>
      <c r="F50"/>
      <c r="G50"/>
      <c r="H50"/>
      <c r="I50"/>
      <c r="J50"/>
      <c r="K50" s="117" t="s">
        <v>45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s="133"/>
      <c r="BD50"/>
      <c r="BE50"/>
      <c r="BF50"/>
    </row>
    <row r="51" spans="1:58" ht="15" customHeight="1" x14ac:dyDescent="0.3">
      <c r="A51" s="18" t="s">
        <v>46</v>
      </c>
      <c r="C51" s="5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 s="134" t="s">
        <v>47</v>
      </c>
      <c r="U51" s="134"/>
      <c r="V51" s="134"/>
      <c r="W51" s="134"/>
      <c r="X51" s="134"/>
      <c r="Y51" s="134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 s="133"/>
      <c r="BD51"/>
      <c r="BE51"/>
      <c r="BF51"/>
    </row>
    <row r="52" spans="1:58" ht="15" customHeight="1" x14ac:dyDescent="0.3">
      <c r="A52" s="3" t="s">
        <v>48</v>
      </c>
      <c r="B52" s="102">
        <v>3</v>
      </c>
      <c r="C52" s="103" t="s">
        <v>49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 s="135" t="s">
        <v>69</v>
      </c>
      <c r="U52" s="135"/>
      <c r="V52" s="135"/>
      <c r="W52" s="135" t="s">
        <v>51</v>
      </c>
      <c r="X52" s="135"/>
      <c r="Y52" s="135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s="133"/>
      <c r="BD52"/>
      <c r="BE52"/>
      <c r="BF52"/>
    </row>
    <row r="53" spans="1:58" ht="15" customHeight="1" x14ac:dyDescent="0.3">
      <c r="A53" s="3" t="s">
        <v>52</v>
      </c>
      <c r="B53" s="102">
        <f>B52</f>
        <v>3</v>
      </c>
      <c r="C53" s="103" t="str">
        <f>C52</f>
        <v>Ø16</v>
      </c>
      <c r="D53" s="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 s="127" t="s">
        <v>53</v>
      </c>
      <c r="U53" s="127" t="s">
        <v>54</v>
      </c>
      <c r="V53" s="127" t="s">
        <v>55</v>
      </c>
      <c r="W53" s="127" t="s">
        <v>53</v>
      </c>
      <c r="X53" s="127" t="s">
        <v>54</v>
      </c>
      <c r="Y53" s="127" t="s">
        <v>55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 s="133"/>
      <c r="BD53"/>
      <c r="BE53"/>
      <c r="BF53"/>
    </row>
    <row r="54" spans="1:58" ht="15" customHeight="1" x14ac:dyDescent="0.3">
      <c r="A54" s="3" t="s">
        <v>56</v>
      </c>
      <c r="B54" s="104" t="s">
        <v>57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 s="126" t="s">
        <v>84</v>
      </c>
      <c r="T54" s="122">
        <f>AS48+($B$49*2)</f>
        <v>0.44999999999999996</v>
      </c>
      <c r="U54" s="122">
        <f>AT48+($B$48*2)</f>
        <v>0.25</v>
      </c>
      <c r="V54" s="122">
        <f>J48</f>
        <v>1.6199999999999999</v>
      </c>
      <c r="W54" s="122">
        <f>AF48+($B$49*2)</f>
        <v>0.44999999999999996</v>
      </c>
      <c r="X54" s="122">
        <f>AG48+($B$48*2)</f>
        <v>0.39999999999999997</v>
      </c>
      <c r="Y54" s="122">
        <f>I48-J48</f>
        <v>1.0700000000000005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 s="133"/>
      <c r="BD54"/>
      <c r="BE54"/>
      <c r="BF54"/>
    </row>
    <row r="55" spans="1:58" ht="15" customHeight="1" x14ac:dyDescent="0.3">
      <c r="A55" s="8" t="s">
        <v>58</v>
      </c>
      <c r="B55" s="105">
        <v>0.2</v>
      </c>
      <c r="C55" s="5" t="s">
        <v>11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 s="126" t="s">
        <v>85</v>
      </c>
      <c r="T55" s="122">
        <f>AS49+($B$49*2)</f>
        <v>0.44999999999999996</v>
      </c>
      <c r="U55" s="122">
        <f>AT49+($B$48*2)</f>
        <v>0.25</v>
      </c>
      <c r="V55" s="122">
        <f>J49</f>
        <v>0.92</v>
      </c>
      <c r="W55" s="122">
        <f>AF49+($B$49*2)</f>
        <v>0.44999999999999996</v>
      </c>
      <c r="X55" s="122">
        <f>AG49+($B$48*2)</f>
        <v>0.39999999999999997</v>
      </c>
      <c r="Y55" s="122">
        <f>I49-J49</f>
        <v>1.0700000000000003</v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 s="133"/>
      <c r="BD55"/>
      <c r="BE55"/>
      <c r="BF55"/>
    </row>
    <row r="56" spans="1:58" ht="15" customHeight="1" x14ac:dyDescent="0.3">
      <c r="A56" s="10" t="s">
        <v>59</v>
      </c>
      <c r="B56" s="7"/>
      <c r="C56" s="8"/>
      <c r="D56" s="9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 s="133"/>
      <c r="BD56"/>
      <c r="BE56"/>
      <c r="BF56"/>
    </row>
    <row r="57" spans="1:58" ht="15" customHeight="1" x14ac:dyDescent="0.3">
      <c r="A57" s="3" t="s">
        <v>60</v>
      </c>
      <c r="B57" s="105">
        <v>0.2</v>
      </c>
      <c r="C57" s="52" t="s">
        <v>11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 s="133"/>
      <c r="BD57"/>
      <c r="BE57"/>
      <c r="BF57"/>
    </row>
    <row r="58" spans="1:58" ht="15" customHeight="1" x14ac:dyDescent="0.3">
      <c r="A58" s="3"/>
      <c r="B58" s="54" t="s">
        <v>61</v>
      </c>
      <c r="C58" s="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 s="133"/>
      <c r="BD58"/>
      <c r="BE58"/>
      <c r="BF58"/>
    </row>
    <row r="59" spans="1:58" ht="15" customHeight="1" x14ac:dyDescent="0.3">
      <c r="A59" s="3" t="s">
        <v>62</v>
      </c>
      <c r="B59" s="106">
        <v>0.05</v>
      </c>
      <c r="C59" s="5" t="s">
        <v>11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 s="133"/>
      <c r="BD59"/>
      <c r="BE59"/>
      <c r="BF59"/>
    </row>
    <row r="60" spans="1:58" ht="15" customHeight="1" x14ac:dyDescent="0.3">
      <c r="C60" s="17"/>
      <c r="I60" s="6"/>
      <c r="J60" s="6"/>
      <c r="K60" s="6"/>
      <c r="L60" s="6"/>
      <c r="M60" s="64" t="s">
        <v>63</v>
      </c>
      <c r="N60" s="6"/>
      <c r="R60" s="23"/>
      <c r="S60" s="23"/>
      <c r="T60" s="23"/>
      <c r="U60" s="23"/>
      <c r="V60" s="23"/>
      <c r="W60" s="23"/>
      <c r="X60" s="23"/>
      <c r="Y60" s="23"/>
      <c r="Z60" s="48"/>
      <c r="AA60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 spans="1:58" ht="15" customHeight="1" x14ac:dyDescent="0.3">
      <c r="I61" s="6"/>
      <c r="J61" s="6"/>
      <c r="K61" s="6"/>
      <c r="L61" s="6"/>
      <c r="M61" s="6"/>
      <c r="N61" s="6"/>
      <c r="R61" s="15"/>
      <c r="S61" s="15"/>
      <c r="T61" s="15"/>
      <c r="U61" s="15"/>
      <c r="V61" s="15"/>
      <c r="W61" s="15"/>
      <c r="X61" s="15"/>
      <c r="Y61" s="15"/>
      <c r="Z61" s="15"/>
      <c r="AA61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</row>
    <row r="62" spans="1:58" s="87" customFormat="1" ht="15" customHeight="1" x14ac:dyDescent="0.3">
      <c r="A62" s="85" t="s">
        <v>88</v>
      </c>
      <c r="B62" s="85"/>
      <c r="C62" s="85"/>
      <c r="D62" s="102"/>
      <c r="E62" s="102"/>
      <c r="F62" s="85" t="s">
        <v>74</v>
      </c>
      <c r="G62" s="85" t="s">
        <v>75</v>
      </c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6"/>
      <c r="AA62" s="86"/>
      <c r="AB62" s="86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</row>
    <row r="63" spans="1:58" ht="15" customHeight="1" x14ac:dyDescent="0.3">
      <c r="A63" s="2" t="s">
        <v>7</v>
      </c>
      <c r="I63" s="6"/>
      <c r="J63" s="6"/>
      <c r="K63" s="6"/>
      <c r="L63" s="6"/>
      <c r="M63" s="6"/>
      <c r="N63" s="6"/>
      <c r="Z63" s="49"/>
      <c r="AA63" s="20"/>
      <c r="AB63" s="20"/>
    </row>
    <row r="64" spans="1:58" ht="15" customHeight="1" x14ac:dyDescent="0.3">
      <c r="A64" s="18" t="s">
        <v>8</v>
      </c>
      <c r="E64" s="18"/>
      <c r="H64" s="23"/>
      <c r="I64" s="6"/>
      <c r="J64" s="6"/>
      <c r="K64" s="6"/>
      <c r="L64" s="6"/>
      <c r="M64" s="6"/>
      <c r="N64" s="6"/>
      <c r="R64" s="165" t="s">
        <v>9</v>
      </c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24"/>
      <c r="BC64" s="5"/>
    </row>
    <row r="65" spans="1:58" ht="15" customHeight="1" x14ac:dyDescent="0.3">
      <c r="A65" s="3" t="s">
        <v>10</v>
      </c>
      <c r="B65" s="57">
        <v>0.45</v>
      </c>
      <c r="C65" s="5" t="s">
        <v>11</v>
      </c>
      <c r="E65" s="10"/>
      <c r="G65" s="6"/>
      <c r="I65" s="166" t="s">
        <v>76</v>
      </c>
      <c r="J65" s="167"/>
      <c r="K65" s="70" t="s">
        <v>14</v>
      </c>
      <c r="L65" s="65" t="s">
        <v>72</v>
      </c>
      <c r="R65" s="136" t="s">
        <v>12</v>
      </c>
      <c r="S65" s="137"/>
      <c r="T65" s="137"/>
      <c r="U65" s="137"/>
      <c r="V65" s="138"/>
      <c r="W65" s="136" t="s">
        <v>13</v>
      </c>
      <c r="X65" s="137"/>
      <c r="Y65" s="137"/>
      <c r="Z65" s="137"/>
      <c r="AA65" s="138"/>
      <c r="AB65" s="71"/>
      <c r="AC65" s="72"/>
      <c r="AD65" s="136" t="s">
        <v>16</v>
      </c>
      <c r="AE65" s="137"/>
      <c r="AF65" s="137"/>
      <c r="AG65" s="137"/>
      <c r="AH65" s="137"/>
      <c r="AI65" s="137"/>
      <c r="AJ65" s="138"/>
      <c r="AK65" s="136"/>
      <c r="AL65" s="137"/>
      <c r="AM65" s="137"/>
      <c r="AN65" s="137"/>
      <c r="AO65" s="137"/>
      <c r="AP65" s="138"/>
      <c r="AQ65" s="136" t="s">
        <v>18</v>
      </c>
      <c r="AR65" s="137"/>
      <c r="AS65" s="137"/>
      <c r="AT65" s="137"/>
      <c r="AU65" s="137"/>
      <c r="AV65" s="137"/>
      <c r="AW65" s="136" t="s">
        <v>19</v>
      </c>
      <c r="AX65" s="137"/>
      <c r="AY65" s="137"/>
      <c r="AZ65" s="137"/>
      <c r="BA65" s="138"/>
      <c r="BB65" s="25" t="s">
        <v>20</v>
      </c>
      <c r="BC65" s="5"/>
    </row>
    <row r="66" spans="1:58" ht="15" customHeight="1" x14ac:dyDescent="0.3">
      <c r="A66" s="3" t="s">
        <v>21</v>
      </c>
      <c r="B66" s="57">
        <f>B76</f>
        <v>0.2</v>
      </c>
      <c r="C66" s="5" t="s">
        <v>11</v>
      </c>
      <c r="E66" s="11" t="s">
        <v>22</v>
      </c>
      <c r="F66" s="12" t="s">
        <v>65</v>
      </c>
      <c r="G66" s="13" t="s">
        <v>66</v>
      </c>
      <c r="H66" s="13" t="s">
        <v>67</v>
      </c>
      <c r="I66" s="89" t="s">
        <v>26</v>
      </c>
      <c r="J66" s="91" t="s">
        <v>27</v>
      </c>
      <c r="K66" s="90" t="s">
        <v>30</v>
      </c>
      <c r="L66" s="66" t="s">
        <v>73</v>
      </c>
      <c r="M66" s="88" t="s">
        <v>32</v>
      </c>
      <c r="N66" s="88" t="s">
        <v>33</v>
      </c>
      <c r="O66" s="88" t="s">
        <v>34</v>
      </c>
      <c r="R66" s="89" t="s">
        <v>35</v>
      </c>
      <c r="S66" s="90" t="s">
        <v>36</v>
      </c>
      <c r="T66" s="27" t="s">
        <v>26</v>
      </c>
      <c r="U66" s="28" t="s">
        <v>37</v>
      </c>
      <c r="V66" s="28" t="s">
        <v>31</v>
      </c>
      <c r="W66" s="89" t="s">
        <v>35</v>
      </c>
      <c r="X66" s="90" t="s">
        <v>36</v>
      </c>
      <c r="Y66" s="28" t="s">
        <v>26</v>
      </c>
      <c r="Z66" s="28" t="s">
        <v>37</v>
      </c>
      <c r="AA66" s="27" t="s">
        <v>31</v>
      </c>
      <c r="AB66" s="151" t="s">
        <v>27</v>
      </c>
      <c r="AC66" s="152"/>
      <c r="AD66" s="89" t="s">
        <v>35</v>
      </c>
      <c r="AE66" s="90" t="s">
        <v>36</v>
      </c>
      <c r="AF66" s="90" t="s">
        <v>38</v>
      </c>
      <c r="AG66" s="91" t="s">
        <v>39</v>
      </c>
      <c r="AH66" s="90" t="s">
        <v>40</v>
      </c>
      <c r="AI66" s="28" t="s">
        <v>37</v>
      </c>
      <c r="AJ66" s="28" t="s">
        <v>31</v>
      </c>
      <c r="AK66" s="26"/>
      <c r="AL66" s="28"/>
      <c r="AM66" s="28"/>
      <c r="AN66" s="28"/>
      <c r="AO66" s="28"/>
      <c r="AP66" s="27"/>
      <c r="AQ66" s="89" t="s">
        <v>35</v>
      </c>
      <c r="AR66" s="90" t="s">
        <v>36</v>
      </c>
      <c r="AS66" s="90" t="s">
        <v>38</v>
      </c>
      <c r="AT66" s="91" t="s">
        <v>39</v>
      </c>
      <c r="AU66" s="28" t="s">
        <v>37</v>
      </c>
      <c r="AV66" s="28" t="s">
        <v>31</v>
      </c>
      <c r="AW66" s="89" t="s">
        <v>35</v>
      </c>
      <c r="AX66" s="90" t="s">
        <v>36</v>
      </c>
      <c r="AY66" t="s">
        <v>41</v>
      </c>
      <c r="AZ66" s="28" t="s">
        <v>37</v>
      </c>
      <c r="BA66" s="27" t="s">
        <v>31</v>
      </c>
      <c r="BB66" s="73" t="s">
        <v>42</v>
      </c>
      <c r="BC66" s="5"/>
    </row>
    <row r="67" spans="1:58" ht="15" customHeight="1" x14ac:dyDescent="0.3">
      <c r="A67" s="3" t="s">
        <v>43</v>
      </c>
      <c r="B67" s="4">
        <v>7.4999999999999997E-2</v>
      </c>
      <c r="C67" s="5" t="s">
        <v>11</v>
      </c>
      <c r="D67" s="3"/>
      <c r="E67" s="55"/>
      <c r="F67" s="153">
        <v>2.9</v>
      </c>
      <c r="G67" s="155">
        <v>1.5</v>
      </c>
      <c r="H67" s="157">
        <v>0.8</v>
      </c>
      <c r="I67" s="92">
        <f t="shared" ref="I67:I68" si="46">T67</f>
        <v>2.29</v>
      </c>
      <c r="J67" s="94">
        <f t="shared" ref="J67:J68" si="47">AB67</f>
        <v>1.47</v>
      </c>
      <c r="K67" s="95">
        <f t="shared" ref="K67:K68" si="48">AD67</f>
        <v>3</v>
      </c>
      <c r="L67" s="161">
        <f>BC67</f>
        <v>65.4482</v>
      </c>
      <c r="M67" s="119">
        <f>L67*1.05</f>
        <v>68.720610000000008</v>
      </c>
      <c r="N67" s="120">
        <f>1.05*(V67+V68+AA67+AA68+AJ67+AJ68+AV67+AV68)</f>
        <v>44.662421999999992</v>
      </c>
      <c r="O67" s="120">
        <f>1.05*(BA67+BA68)</f>
        <v>24.058188000000001</v>
      </c>
      <c r="R67" s="107">
        <f>$B$72</f>
        <v>3</v>
      </c>
      <c r="S67" s="93" t="str">
        <f>$C$72</f>
        <v>Ø16</v>
      </c>
      <c r="T67" s="30">
        <f>(F67-G67*0.5-H67*0.5)*0.5+G67-0.085</f>
        <v>2.29</v>
      </c>
      <c r="U67" s="31">
        <f>T67*R67</f>
        <v>6.87</v>
      </c>
      <c r="V67" s="32">
        <f>IF(S67="Ø6",0.222,IF(S67="Ø8",0.395,IF(S67="Ø10",0.617,IF(S67="Ø12",0.888,IF(S67="Ø16",1.578,IF(S67="Ø20",2.47,IF(S67="Ø25",3.85,"NO CONT.")))))))*U67</f>
        <v>10.840860000000001</v>
      </c>
      <c r="W67" s="107">
        <f>$B$71</f>
        <v>3</v>
      </c>
      <c r="X67" s="93" t="str">
        <f>$C$71</f>
        <v>Ø16</v>
      </c>
      <c r="Y67" s="34">
        <f t="shared" ref="Y67:Y68" si="49">T67</f>
        <v>2.29</v>
      </c>
      <c r="Z67" s="31">
        <f t="shared" ref="Z67:Z68" si="50">(Y67)*W67</f>
        <v>6.87</v>
      </c>
      <c r="AA67" s="32">
        <f t="shared" ref="AA67:AA68" si="51">IF(X67="Ø6",0.222,IF(X67="Ø8",0.395,IF(X67="Ø10",0.617,IF(X67="Ø12",0.888,IF(X67="Ø16",1.578,IF(X67="Ø20",2.47,IF(X67="Ø25",3.85,"NO CONT.")))))))*Z67</f>
        <v>10.840860000000001</v>
      </c>
      <c r="AB67" s="145">
        <f>G67-0.03</f>
        <v>1.47</v>
      </c>
      <c r="AC67" s="147"/>
      <c r="AD67" s="110">
        <f>ROUNDUP((Y67-AB67-0.28)/$B$74,0)</f>
        <v>3</v>
      </c>
      <c r="AE67" s="111" t="str">
        <f>$B$73</f>
        <v>Ø10</v>
      </c>
      <c r="AF67" s="93">
        <f>$B$65-$B$67*2</f>
        <v>0.30000000000000004</v>
      </c>
      <c r="AG67" s="94">
        <f>$B$66-$B$68*2</f>
        <v>0.1</v>
      </c>
      <c r="AH67" s="92">
        <f>$B$74</f>
        <v>0.2</v>
      </c>
      <c r="AI67" s="31">
        <f>(AF67*2+AG67*2+0.14)*AD67</f>
        <v>2.8200000000000003</v>
      </c>
      <c r="AJ67" s="32">
        <f>IF(AE67="Ø6",0.222,IF(AE67="Ø8",0.395,IF(AE67="Ø10",0.617,IF(AE67="Ø12",0.888,IF(AE67="Ø16",1.578,IF(AE67="Ø20",2.47,IF(AE67="Ø25",3.85,"NO CONT.")))))))*AI67</f>
        <v>1.7399400000000003</v>
      </c>
      <c r="AK67" s="77"/>
      <c r="AL67" s="76"/>
      <c r="AM67" s="33"/>
      <c r="AN67" s="33"/>
      <c r="AO67" s="33"/>
      <c r="AP67" s="32"/>
      <c r="AQ67" s="110">
        <v>2</v>
      </c>
      <c r="AR67" s="111" t="str">
        <f>$B$73</f>
        <v>Ø10</v>
      </c>
      <c r="AS67" s="93">
        <f>$B$65-$B$67*2</f>
        <v>0.30000000000000004</v>
      </c>
      <c r="AT67" s="94">
        <f>$B$76-$B$78*2</f>
        <v>0.1</v>
      </c>
      <c r="AU67" s="31">
        <f>(AS67*2+AT67*2+0.14)*AQ67</f>
        <v>1.8800000000000001</v>
      </c>
      <c r="AV67" s="33">
        <f>IF(AR67="Ø6",0.222,IF(AR67="Ø8",0.395,IF(AR67="Ø10",0.617,IF(AR67="Ø12",0.888,IF(AR67="Ø16",1.578,IF(AR67="Ø20",2.47,IF(AR67="Ø25",3.85,"NO CONT.")))))))*AU67</f>
        <v>1.1599600000000001</v>
      </c>
      <c r="AW67" s="110">
        <f>B71</f>
        <v>3</v>
      </c>
      <c r="AX67" s="111" t="str">
        <f>$C$72</f>
        <v>Ø16</v>
      </c>
      <c r="AY67">
        <v>2.42</v>
      </c>
      <c r="AZ67" s="77">
        <f>AY67*AW67</f>
        <v>7.26</v>
      </c>
      <c r="BA67" s="32">
        <f>IF(AX67="Ø6",0.222,IF(AX67="Ø8",0.395,IF(AX67="Ø10",0.617,IF(AX67="Ø12",0.888,IF(AX67="Ø16",1.578,IF(AX67="Ø20",2.47,IF(AX67="Ø25",3.85,"NO CONT.")))))))*AZ67</f>
        <v>11.45628</v>
      </c>
      <c r="BB67" s="45">
        <f>BA67+AV67+AJ67+AA67+V67</f>
        <v>36.0379</v>
      </c>
      <c r="BC67" s="149">
        <f>BB67+BB68</f>
        <v>65.4482</v>
      </c>
    </row>
    <row r="68" spans="1:58" ht="15" customHeight="1" x14ac:dyDescent="0.3">
      <c r="A68" s="3" t="s">
        <v>44</v>
      </c>
      <c r="B68" s="57">
        <v>0.05</v>
      </c>
      <c r="C68" s="5" t="s">
        <v>11</v>
      </c>
      <c r="D68" s="3"/>
      <c r="E68" s="56"/>
      <c r="F68" s="154"/>
      <c r="G68" s="156"/>
      <c r="H68" s="158"/>
      <c r="I68" s="96">
        <f t="shared" si="46"/>
        <v>1.59</v>
      </c>
      <c r="J68" s="97">
        <f t="shared" si="47"/>
        <v>0.77</v>
      </c>
      <c r="K68" s="98">
        <f t="shared" si="48"/>
        <v>3</v>
      </c>
      <c r="L68" s="162"/>
      <c r="R68" s="108">
        <f>$B$72</f>
        <v>3</v>
      </c>
      <c r="S68" s="109" t="str">
        <f>$C$72</f>
        <v>Ø16</v>
      </c>
      <c r="T68" s="36">
        <f>(F67-G67*0.5-H67*0.5)*0.5+H67-0.085</f>
        <v>1.59</v>
      </c>
      <c r="U68" s="37">
        <f t="shared" ref="U68" si="52">T68*R68</f>
        <v>4.7700000000000005</v>
      </c>
      <c r="V68" s="38">
        <f t="shared" ref="V68" si="53">IF(S68="Ø6",0.222,IF(S68="Ø8",0.395,IF(S68="Ø10",0.617,IF(S68="Ø12",0.888,IF(S68="Ø16",1.578,IF(S68="Ø20",2.47,IF(S68="Ø25",3.85,"NO CONT.")))))))*U68</f>
        <v>7.5270600000000014</v>
      </c>
      <c r="W68" s="108">
        <f>$B$71</f>
        <v>3</v>
      </c>
      <c r="X68" s="109" t="str">
        <f>$C$71</f>
        <v>Ø16</v>
      </c>
      <c r="Y68" s="40">
        <f t="shared" si="49"/>
        <v>1.59</v>
      </c>
      <c r="Z68" s="37">
        <f t="shared" si="50"/>
        <v>4.7700000000000005</v>
      </c>
      <c r="AA68" s="38">
        <f t="shared" si="51"/>
        <v>7.5270600000000014</v>
      </c>
      <c r="AB68" s="163">
        <f>H67-0.03</f>
        <v>0.77</v>
      </c>
      <c r="AC68" s="164"/>
      <c r="AD68" s="89">
        <f>ROUNDUP((Y68-AB68-0.28)/$B$74,0)</f>
        <v>3</v>
      </c>
      <c r="AE68" s="90" t="str">
        <f>$B$73</f>
        <v>Ø10</v>
      </c>
      <c r="AF68" s="109">
        <f>$B$65-$B$67*2</f>
        <v>0.30000000000000004</v>
      </c>
      <c r="AG68" s="112">
        <f>$B$66-$B$68*2</f>
        <v>0.1</v>
      </c>
      <c r="AH68" s="123">
        <f>$B$74</f>
        <v>0.2</v>
      </c>
      <c r="AI68" s="37">
        <f t="shared" ref="AI68" si="54">(AF68*2+AG68*2+0.14)*AD68</f>
        <v>2.8200000000000003</v>
      </c>
      <c r="AJ68" s="38">
        <f t="shared" ref="AJ68" si="55">IF(AE68="Ø6",0.222,IF(AE68="Ø8",0.395,IF(AE68="Ø10",0.617,IF(AE68="Ø12",0.888,IF(AE68="Ø16",1.578,IF(AE68="Ø20",2.47,IF(AE68="Ø25",3.85,"NO CONT.")))))))*AI68</f>
        <v>1.7399400000000003</v>
      </c>
      <c r="AK68" s="79"/>
      <c r="AL68" s="78"/>
      <c r="AM68" s="39"/>
      <c r="AN68" s="39"/>
      <c r="AO68" s="39"/>
      <c r="AP68" s="38"/>
      <c r="AQ68" s="89">
        <v>2</v>
      </c>
      <c r="AR68" s="90" t="str">
        <f>$B$73</f>
        <v>Ø10</v>
      </c>
      <c r="AS68" s="109">
        <f>$B$65-$B$67*2</f>
        <v>0.30000000000000004</v>
      </c>
      <c r="AT68" s="112">
        <f>$B$76-$B$78*2</f>
        <v>0.1</v>
      </c>
      <c r="AU68" s="37">
        <f t="shared" ref="AU68" si="56">(AS68*2+AT68*2+0.14)*AQ68</f>
        <v>1.8800000000000001</v>
      </c>
      <c r="AV68" s="39">
        <f t="shared" ref="AV68" si="57">IF(AR68="Ø6",0.222,IF(AR68="Ø8",0.395,IF(AR68="Ø10",0.617,IF(AR68="Ø12",0.888,IF(AR68="Ø16",1.578,IF(AR68="Ø20",2.47,IF(AR68="Ø25",3.85,"NO CONT.")))))))*AU68</f>
        <v>1.1599600000000001</v>
      </c>
      <c r="AW68" s="118">
        <f>B72</f>
        <v>3</v>
      </c>
      <c r="AX68" s="99" t="str">
        <f>$C$71</f>
        <v>Ø16</v>
      </c>
      <c r="AY68">
        <v>2.42</v>
      </c>
      <c r="AZ68" s="80">
        <f t="shared" ref="AZ68" si="58">AY68*AW68</f>
        <v>7.26</v>
      </c>
      <c r="BA68" s="41">
        <f t="shared" ref="BA68" si="59">IF(AX68="Ø6",0.222,IF(AX68="Ø8",0.395,IF(AX68="Ø10",0.617,IF(AX68="Ø12",0.888,IF(AX68="Ø16",1.578,IF(AX68="Ø20",2.47,IF(AX68="Ø25",3.85,"NO CONT.")))))))*AZ68</f>
        <v>11.45628</v>
      </c>
      <c r="BB68" s="47">
        <f>BA68+AV68+AJ68+AA68+V68</f>
        <v>29.410300000000003</v>
      </c>
      <c r="BC68" s="150"/>
    </row>
    <row r="69" spans="1:58" ht="15" customHeight="1" x14ac:dyDescent="0.3">
      <c r="A69" s="3"/>
      <c r="B69" s="4"/>
      <c r="C69" s="5"/>
      <c r="D69" s="3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 s="133"/>
      <c r="AC69" s="133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s="133"/>
      <c r="BD69"/>
      <c r="BE69"/>
      <c r="BF69"/>
    </row>
    <row r="70" spans="1:58" ht="15" customHeight="1" x14ac:dyDescent="0.3">
      <c r="A70" s="18" t="s">
        <v>46</v>
      </c>
      <c r="C70" s="5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 s="134" t="s">
        <v>47</v>
      </c>
      <c r="U70" s="134"/>
      <c r="V70" s="134"/>
      <c r="W70" s="134"/>
      <c r="X70" s="134"/>
      <c r="Y70" s="134"/>
      <c r="Z70"/>
      <c r="AA70"/>
      <c r="AB70" s="133"/>
      <c r="AC70" s="133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 s="133"/>
      <c r="BD70"/>
      <c r="BE70"/>
      <c r="BF70"/>
    </row>
    <row r="71" spans="1:58" ht="15" customHeight="1" x14ac:dyDescent="0.3">
      <c r="A71" s="3" t="s">
        <v>48</v>
      </c>
      <c r="B71" s="102">
        <v>3</v>
      </c>
      <c r="C71" s="103" t="s">
        <v>49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 s="135" t="s">
        <v>69</v>
      </c>
      <c r="U71" s="135"/>
      <c r="V71" s="135"/>
      <c r="W71" s="135" t="s">
        <v>51</v>
      </c>
      <c r="X71" s="135"/>
      <c r="Y71" s="135"/>
      <c r="Z71"/>
      <c r="AA71"/>
      <c r="AB71" s="133"/>
      <c r="AC71" s="133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 s="133"/>
      <c r="BD71"/>
      <c r="BE71"/>
      <c r="BF71"/>
    </row>
    <row r="72" spans="1:58" ht="15" customHeight="1" x14ac:dyDescent="0.3">
      <c r="A72" s="3" t="s">
        <v>52</v>
      </c>
      <c r="B72" s="102">
        <f>B71</f>
        <v>3</v>
      </c>
      <c r="C72" s="103" t="str">
        <f>C71</f>
        <v>Ø16</v>
      </c>
      <c r="D72" s="53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 s="127" t="s">
        <v>53</v>
      </c>
      <c r="U72" s="127" t="s">
        <v>54</v>
      </c>
      <c r="V72" s="127" t="s">
        <v>55</v>
      </c>
      <c r="W72" s="127" t="s">
        <v>53</v>
      </c>
      <c r="X72" s="127" t="s">
        <v>54</v>
      </c>
      <c r="Y72" s="127" t="s">
        <v>55</v>
      </c>
      <c r="Z72"/>
      <c r="AA72"/>
      <c r="AB72" s="133"/>
      <c r="AC72" s="133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 s="133"/>
      <c r="BD72"/>
      <c r="BE72"/>
      <c r="BF72"/>
    </row>
    <row r="73" spans="1:58" ht="15" customHeight="1" x14ac:dyDescent="0.3">
      <c r="A73" s="3" t="s">
        <v>56</v>
      </c>
      <c r="B73" s="104" t="s">
        <v>57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26" t="s">
        <v>84</v>
      </c>
      <c r="T73" s="122">
        <f>AS67+($B$68*2)</f>
        <v>0.4</v>
      </c>
      <c r="U73" s="122">
        <f>AT67+($B$67*2)</f>
        <v>0.25</v>
      </c>
      <c r="V73" s="122">
        <f>J67</f>
        <v>1.47</v>
      </c>
      <c r="W73" s="122">
        <f>AF67+($B$68*2)</f>
        <v>0.4</v>
      </c>
      <c r="X73" s="122">
        <f>AG67+($B$67*2)</f>
        <v>0.25</v>
      </c>
      <c r="Y73" s="122">
        <f>I67-J67</f>
        <v>0.82000000000000006</v>
      </c>
      <c r="Z73"/>
      <c r="AA73"/>
      <c r="AB73" s="133"/>
      <c r="AC73" s="13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 s="133"/>
      <c r="BD73"/>
      <c r="BE73"/>
      <c r="BF73"/>
    </row>
    <row r="74" spans="1:58" ht="15" customHeight="1" x14ac:dyDescent="0.3">
      <c r="A74" s="8" t="s">
        <v>58</v>
      </c>
      <c r="B74" s="105">
        <v>0.2</v>
      </c>
      <c r="C74" s="5" t="s">
        <v>11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26" t="s">
        <v>85</v>
      </c>
      <c r="T74" s="122">
        <f>AS68+($B$68*2)</f>
        <v>0.4</v>
      </c>
      <c r="U74" s="122">
        <f>AT68+($B$67*2)</f>
        <v>0.25</v>
      </c>
      <c r="V74" s="122">
        <f>J68</f>
        <v>0.77</v>
      </c>
      <c r="W74" s="122">
        <f>AF68+($B$68*2)</f>
        <v>0.4</v>
      </c>
      <c r="X74" s="122">
        <f>AG68+($B$67*2)</f>
        <v>0.25</v>
      </c>
      <c r="Y74" s="122">
        <f>I68-J68</f>
        <v>0.82000000000000006</v>
      </c>
      <c r="Z74"/>
      <c r="AA74"/>
      <c r="AB74" s="133"/>
      <c r="AC74" s="133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 s="133"/>
      <c r="BD74"/>
      <c r="BE74"/>
      <c r="BF74"/>
    </row>
    <row r="75" spans="1:58" ht="15" customHeight="1" x14ac:dyDescent="0.3">
      <c r="A75" s="10" t="s">
        <v>59</v>
      </c>
      <c r="B75" s="7"/>
      <c r="C75" s="8"/>
      <c r="D75" s="9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 s="133"/>
      <c r="AC75" s="133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 s="133"/>
      <c r="BD75"/>
      <c r="BE75"/>
      <c r="BF75"/>
    </row>
    <row r="76" spans="1:58" ht="15" customHeight="1" x14ac:dyDescent="0.3">
      <c r="A76" s="3" t="s">
        <v>60</v>
      </c>
      <c r="B76" s="105">
        <v>0.2</v>
      </c>
      <c r="C76" s="52" t="s">
        <v>11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 s="133"/>
      <c r="AC76" s="133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 s="133"/>
      <c r="BD76"/>
      <c r="BE76"/>
      <c r="BF76"/>
    </row>
    <row r="77" spans="1:58" ht="15" customHeight="1" x14ac:dyDescent="0.3">
      <c r="A77" s="3"/>
      <c r="B77" s="54" t="s">
        <v>61</v>
      </c>
      <c r="C77" s="8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 s="133"/>
      <c r="AC77" s="133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 s="133"/>
      <c r="BD77"/>
      <c r="BE77"/>
      <c r="BF77"/>
    </row>
    <row r="78" spans="1:58" ht="15" customHeight="1" x14ac:dyDescent="0.3">
      <c r="A78" s="3" t="s">
        <v>62</v>
      </c>
      <c r="B78" s="106">
        <v>0.05</v>
      </c>
      <c r="C78" s="5" t="s">
        <v>11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 s="133"/>
      <c r="AC78" s="133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 s="133"/>
      <c r="BD78"/>
      <c r="BE78"/>
      <c r="BF78"/>
    </row>
    <row r="79" spans="1:58" ht="15" customHeight="1" x14ac:dyDescent="0.3">
      <c r="C79" s="17"/>
      <c r="K79" s="64" t="s">
        <v>63</v>
      </c>
      <c r="R79" s="23"/>
      <c r="S79" s="23"/>
      <c r="T79" s="23"/>
      <c r="U79" s="23"/>
      <c r="V79" s="23"/>
      <c r="W79" s="23"/>
      <c r="X79" s="23"/>
      <c r="Y79" s="23"/>
      <c r="Z79" s="48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 spans="1:58" ht="15" customHeight="1" x14ac:dyDescent="0.3"/>
    <row r="81" spans="1:58" s="87" customFormat="1" ht="15" customHeight="1" x14ac:dyDescent="0.3">
      <c r="A81" s="85" t="s">
        <v>89</v>
      </c>
      <c r="B81" s="85"/>
      <c r="C81" s="85"/>
      <c r="D81" s="102"/>
      <c r="E81" s="102"/>
      <c r="F81" s="85" t="s">
        <v>77</v>
      </c>
      <c r="G81" s="85"/>
      <c r="H81" s="85" t="s">
        <v>75</v>
      </c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6"/>
      <c r="AA81" s="86"/>
      <c r="AB81" s="86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</row>
    <row r="82" spans="1:58" ht="15" customHeight="1" x14ac:dyDescent="0.3">
      <c r="A82" s="2" t="s">
        <v>7</v>
      </c>
      <c r="I82" s="6"/>
      <c r="J82" s="6"/>
      <c r="K82" s="6"/>
      <c r="L82" s="6"/>
      <c r="M82" s="6"/>
      <c r="N82" s="6"/>
      <c r="Z82" s="49"/>
      <c r="AA82" s="20"/>
      <c r="AB82" s="20"/>
    </row>
    <row r="83" spans="1:58" ht="15" customHeight="1" x14ac:dyDescent="0.3">
      <c r="A83" s="18" t="s">
        <v>8</v>
      </c>
      <c r="E83" s="18"/>
      <c r="H83" s="82"/>
      <c r="I83" s="6"/>
      <c r="J83" s="6"/>
      <c r="K83" s="6"/>
      <c r="L83" s="6"/>
      <c r="M83" s="6"/>
      <c r="N83" s="6"/>
      <c r="R83" s="165" t="s">
        <v>9</v>
      </c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24"/>
      <c r="BC83" s="5"/>
    </row>
    <row r="84" spans="1:58" ht="15" customHeight="1" x14ac:dyDescent="0.3">
      <c r="A84" s="3" t="s">
        <v>10</v>
      </c>
      <c r="B84" s="57">
        <v>0.45</v>
      </c>
      <c r="C84" s="5" t="s">
        <v>11</v>
      </c>
      <c r="E84" s="10"/>
      <c r="G84" s="6"/>
      <c r="I84" s="166" t="s">
        <v>76</v>
      </c>
      <c r="J84" s="167"/>
      <c r="K84" s="166" t="s">
        <v>14</v>
      </c>
      <c r="L84" s="167"/>
      <c r="M84" s="83" t="s">
        <v>78</v>
      </c>
      <c r="N84" s="65" t="s">
        <v>72</v>
      </c>
      <c r="R84" s="136" t="s">
        <v>12</v>
      </c>
      <c r="S84" s="137"/>
      <c r="T84" s="137"/>
      <c r="U84" s="137"/>
      <c r="V84" s="138"/>
      <c r="W84" s="136" t="s">
        <v>13</v>
      </c>
      <c r="X84" s="137"/>
      <c r="Y84" s="137"/>
      <c r="Z84" s="137"/>
      <c r="AA84" s="138"/>
      <c r="AB84" s="71"/>
      <c r="AC84" s="72"/>
      <c r="AD84" s="136" t="s">
        <v>16</v>
      </c>
      <c r="AE84" s="137"/>
      <c r="AF84" s="137"/>
      <c r="AG84" s="137"/>
      <c r="AH84" s="137"/>
      <c r="AI84" s="137"/>
      <c r="AJ84" s="138"/>
      <c r="AK84" s="136" t="s">
        <v>78</v>
      </c>
      <c r="AL84" s="137"/>
      <c r="AM84" s="137"/>
      <c r="AN84" s="137"/>
      <c r="AO84" s="137"/>
      <c r="AP84" s="138"/>
      <c r="AQ84" s="136" t="s">
        <v>17</v>
      </c>
      <c r="AR84" s="137"/>
      <c r="AS84" s="137"/>
      <c r="AT84" s="137"/>
      <c r="AU84" s="137"/>
      <c r="AV84" s="138"/>
      <c r="AW84" s="136" t="s">
        <v>19</v>
      </c>
      <c r="AX84" s="137"/>
      <c r="AY84" s="137"/>
      <c r="AZ84" s="137"/>
      <c r="BA84" s="138"/>
      <c r="BB84" s="25" t="s">
        <v>20</v>
      </c>
      <c r="BC84" s="5"/>
    </row>
    <row r="85" spans="1:58" ht="15" customHeight="1" x14ac:dyDescent="0.3">
      <c r="A85" s="3" t="s">
        <v>21</v>
      </c>
      <c r="B85" s="57">
        <f>B95</f>
        <v>0.2</v>
      </c>
      <c r="C85" s="5" t="s">
        <v>11</v>
      </c>
      <c r="E85" s="11" t="s">
        <v>22</v>
      </c>
      <c r="F85" s="12" t="s">
        <v>65</v>
      </c>
      <c r="G85" s="13" t="s">
        <v>66</v>
      </c>
      <c r="H85" s="13" t="s">
        <v>67</v>
      </c>
      <c r="I85" s="89" t="s">
        <v>26</v>
      </c>
      <c r="J85" s="91" t="s">
        <v>27</v>
      </c>
      <c r="K85" s="89" t="s">
        <v>30</v>
      </c>
      <c r="L85" s="91" t="s">
        <v>90</v>
      </c>
      <c r="M85" s="89" t="s">
        <v>28</v>
      </c>
      <c r="N85" s="66" t="s">
        <v>73</v>
      </c>
      <c r="O85" s="88" t="s">
        <v>32</v>
      </c>
      <c r="P85" s="88" t="s">
        <v>33</v>
      </c>
      <c r="Q85" s="88" t="s">
        <v>34</v>
      </c>
      <c r="R85" s="89" t="s">
        <v>35</v>
      </c>
      <c r="S85" s="90" t="s">
        <v>36</v>
      </c>
      <c r="T85" s="27" t="s">
        <v>26</v>
      </c>
      <c r="U85" s="28" t="s">
        <v>37</v>
      </c>
      <c r="V85" s="28" t="s">
        <v>31</v>
      </c>
      <c r="W85" s="89" t="s">
        <v>35</v>
      </c>
      <c r="X85" s="90" t="s">
        <v>36</v>
      </c>
      <c r="Y85" s="28" t="s">
        <v>26</v>
      </c>
      <c r="Z85" s="28" t="s">
        <v>37</v>
      </c>
      <c r="AA85" s="27" t="s">
        <v>31</v>
      </c>
      <c r="AB85" s="151" t="s">
        <v>27</v>
      </c>
      <c r="AC85" s="152"/>
      <c r="AD85" s="89" t="s">
        <v>35</v>
      </c>
      <c r="AE85" s="90" t="s">
        <v>36</v>
      </c>
      <c r="AF85" s="90" t="s">
        <v>38</v>
      </c>
      <c r="AG85" s="91" t="s">
        <v>39</v>
      </c>
      <c r="AH85" s="90" t="s">
        <v>40</v>
      </c>
      <c r="AI85" s="28" t="s">
        <v>37</v>
      </c>
      <c r="AJ85" s="28" t="s">
        <v>31</v>
      </c>
      <c r="AK85" s="89" t="s">
        <v>35</v>
      </c>
      <c r="AL85" s="90" t="s">
        <v>36</v>
      </c>
      <c r="AM85" s="28" t="s">
        <v>28</v>
      </c>
      <c r="AO85" s="26" t="s">
        <v>37</v>
      </c>
      <c r="AP85" s="27" t="s">
        <v>31</v>
      </c>
      <c r="AQ85" s="89" t="s">
        <v>35</v>
      </c>
      <c r="AR85" s="90" t="s">
        <v>36</v>
      </c>
      <c r="AS85" s="90" t="s">
        <v>38</v>
      </c>
      <c r="AT85" s="91" t="s">
        <v>39</v>
      </c>
      <c r="AU85" s="28" t="s">
        <v>37</v>
      </c>
      <c r="AV85" s="27" t="s">
        <v>31</v>
      </c>
      <c r="AW85" s="89" t="s">
        <v>35</v>
      </c>
      <c r="AX85" s="90" t="s">
        <v>36</v>
      </c>
      <c r="AY85" t="s">
        <v>41</v>
      </c>
      <c r="AZ85" s="28" t="s">
        <v>37</v>
      </c>
      <c r="BA85" s="27" t="s">
        <v>31</v>
      </c>
      <c r="BB85" s="73" t="s">
        <v>42</v>
      </c>
      <c r="BC85" s="5"/>
    </row>
    <row r="86" spans="1:58" ht="15" customHeight="1" x14ac:dyDescent="0.3">
      <c r="A86" s="3" t="s">
        <v>43</v>
      </c>
      <c r="B86" s="4">
        <v>7.4999999999999997E-2</v>
      </c>
      <c r="C86" s="5" t="s">
        <v>11</v>
      </c>
      <c r="D86" s="3"/>
      <c r="E86" s="55"/>
      <c r="F86" s="153">
        <v>2.9</v>
      </c>
      <c r="G86" s="155">
        <v>1.5</v>
      </c>
      <c r="H86" s="157">
        <v>0.8</v>
      </c>
      <c r="I86" s="92">
        <f t="shared" ref="I86:I87" si="60">T86</f>
        <v>2.29</v>
      </c>
      <c r="J86" s="94">
        <f t="shared" ref="J86:J87" si="61">AB86</f>
        <v>1.47</v>
      </c>
      <c r="K86" s="107">
        <f t="shared" ref="K86:K87" si="62">AD86</f>
        <v>4</v>
      </c>
      <c r="L86" s="124">
        <f>AQ86</f>
        <v>3</v>
      </c>
      <c r="M86" s="159">
        <f>AM86</f>
        <v>1.65</v>
      </c>
      <c r="N86" s="161">
        <f>BC86</f>
        <v>80.723922000000002</v>
      </c>
      <c r="O86" s="119">
        <f>N86*1.05</f>
        <v>84.7601181</v>
      </c>
      <c r="P86" s="119">
        <f>1.05*(V86+V87+AA86+AA87+AJ86+AJ87+AJ92+AJ93+AV92+AV93+AV86+AV87)</f>
        <v>56.086550100000011</v>
      </c>
      <c r="Q86" s="119">
        <f>1.05*(BA86+BA87+AP86)</f>
        <v>28.673568</v>
      </c>
      <c r="R86" s="107">
        <f>$B$91</f>
        <v>3</v>
      </c>
      <c r="S86" s="93" t="str">
        <f>$C$91</f>
        <v>Ø16</v>
      </c>
      <c r="T86" s="30">
        <f>0.5*(F86-G86*0.5-H86*0.5)+G86-0.085</f>
        <v>2.29</v>
      </c>
      <c r="U86" s="31">
        <f>T86*R86</f>
        <v>6.87</v>
      </c>
      <c r="V86" s="32">
        <f>IF(S86="Ø6",0.222,IF(S86="Ø8",0.395,IF(S86="Ø10",0.617,IF(S86="Ø12",0.888,IF(S86="Ø16",1.578,IF(S86="Ø20",2.47,IF(S86="Ø25",3.85,"NO CONT.")))))))*U86</f>
        <v>10.840860000000001</v>
      </c>
      <c r="W86" s="107">
        <f>$B$90</f>
        <v>3</v>
      </c>
      <c r="X86" s="93" t="str">
        <f>$C$90</f>
        <v>Ø16</v>
      </c>
      <c r="Y86" s="34">
        <f t="shared" ref="Y86:Y87" si="63">T86</f>
        <v>2.29</v>
      </c>
      <c r="Z86" s="31">
        <f t="shared" ref="Z86:Z87" si="64">(Y86)*W86</f>
        <v>6.87</v>
      </c>
      <c r="AA86" s="32">
        <f t="shared" ref="AA86:AA87" si="65">IF(X86="Ø6",0.222,IF(X86="Ø8",0.395,IF(X86="Ø10",0.617,IF(X86="Ø12",0.888,IF(X86="Ø16",1.578,IF(X86="Ø20",2.47,IF(X86="Ø25",3.85,"NO CONT.")))))))*Z86</f>
        <v>10.840860000000001</v>
      </c>
      <c r="AB86" s="145">
        <f>G86-0.03</f>
        <v>1.47</v>
      </c>
      <c r="AC86" s="147"/>
      <c r="AD86" s="110">
        <f>ROUNDUP((Y86-AB86-0.28)/$B$93,0)+1</f>
        <v>4</v>
      </c>
      <c r="AE86" s="111" t="str">
        <f>$B$92</f>
        <v>Ø10</v>
      </c>
      <c r="AF86" s="93">
        <f>$B$84-$B$86*2</f>
        <v>0.30000000000000004</v>
      </c>
      <c r="AG86" s="94">
        <f>$B$85-$B$87*2</f>
        <v>0.1</v>
      </c>
      <c r="AH86" s="92">
        <f>$B$93</f>
        <v>0.2</v>
      </c>
      <c r="AI86" s="31">
        <f>(AF86*2+AG86*2+0.14)*AD86</f>
        <v>3.7600000000000002</v>
      </c>
      <c r="AJ86" s="32">
        <f>IF(AE86="Ø6",0.222,IF(AE86="Ø8",0.395,IF(AE86="Ø10",0.617,IF(AE86="Ø12",0.888,IF(AE86="Ø16",1.578,IF(AE86="Ø20",2.47,IF(AE86="Ø25",3.85,"NO CONT.")))))))*AI86</f>
        <v>2.3199200000000002</v>
      </c>
      <c r="AK86" s="139">
        <v>3</v>
      </c>
      <c r="AL86" s="141" t="s">
        <v>79</v>
      </c>
      <c r="AM86" s="143">
        <f>F86-G86/2-H86/2-0.1</f>
        <v>1.65</v>
      </c>
      <c r="AN86" s="74"/>
      <c r="AO86" s="145">
        <f>(AM86)*AK86</f>
        <v>4.9499999999999993</v>
      </c>
      <c r="AP86" s="147">
        <f>IF(AL86="Ø6",0.222,IF(AL86="Ø8",0.395,IF(AL86="Ø10",0.617,IF(AL86="Ø12",0.888,IF(AL86="Ø16",1.578,IF(AL86="Ø20",2.47,IF(AL86="Ø25",3.85,"NO CONT.")))))))*AO86</f>
        <v>4.3955999999999991</v>
      </c>
      <c r="AQ86" s="110">
        <f>ROUNDUP((Y86-AB86-0.28)/$B$93,0)</f>
        <v>3</v>
      </c>
      <c r="AR86" s="111" t="str">
        <f>$B$92</f>
        <v>Ø10</v>
      </c>
      <c r="AS86" s="93">
        <f>$B$84-$B$86*2</f>
        <v>0.30000000000000004</v>
      </c>
      <c r="AT86" s="94">
        <f>$B$88-$B$87*2</f>
        <v>0.24999999999999997</v>
      </c>
      <c r="AU86" s="31">
        <f t="shared" ref="AU86:AU87" si="66">(AS86*2+AT86*2+0.14)*AQ86</f>
        <v>3.7200000000000006</v>
      </c>
      <c r="AV86" s="32">
        <f t="shared" ref="AV86:AV87" si="67">IF(AR86="Ø6",0.222,IF(AR86="Ø8",0.395,IF(AR86="Ø10",0.617,IF(AR86="Ø12",0.888,IF(AR86="Ø16",1.578,IF(AR86="Ø20",2.47,IF(AR86="Ø25",3.85,"NO CONT.")))))))*AU86</f>
        <v>2.2952400000000002</v>
      </c>
      <c r="AW86" s="110">
        <f>B90</f>
        <v>3</v>
      </c>
      <c r="AX86" s="111" t="str">
        <f>$C$91</f>
        <v>Ø16</v>
      </c>
      <c r="AY86">
        <v>2.42</v>
      </c>
      <c r="AZ86" s="77">
        <f>AY86*AW86</f>
        <v>7.26</v>
      </c>
      <c r="BA86" s="32">
        <f>IF(AX86="Ø6",0.222,IF(AX86="Ø8",0.395,IF(AX86="Ø10",0.617,IF(AX86="Ø12",0.888,IF(AX86="Ø16",1.578,IF(AX86="Ø20",2.47,IF(AX86="Ø25",3.85,"NO CONT.")))))))*AZ86</f>
        <v>11.45628</v>
      </c>
      <c r="BB86" s="45">
        <f>BA86+AJ92+AJ86+AA86+V86+AV92+AV86</f>
        <v>40.443280000000001</v>
      </c>
      <c r="BC86" s="149">
        <f>BB86+BB87+AP86</f>
        <v>80.723922000000002</v>
      </c>
    </row>
    <row r="87" spans="1:58" ht="15" customHeight="1" x14ac:dyDescent="0.3">
      <c r="A87" s="3" t="s">
        <v>44</v>
      </c>
      <c r="B87" s="57">
        <v>0.05</v>
      </c>
      <c r="C87" s="5" t="s">
        <v>11</v>
      </c>
      <c r="D87" s="3"/>
      <c r="E87" s="56"/>
      <c r="F87" s="154"/>
      <c r="G87" s="156"/>
      <c r="H87" s="158"/>
      <c r="I87" s="96">
        <f t="shared" si="60"/>
        <v>1.6665000000000001</v>
      </c>
      <c r="J87" s="97">
        <f t="shared" si="61"/>
        <v>0.77</v>
      </c>
      <c r="K87" s="125">
        <f t="shared" si="62"/>
        <v>5</v>
      </c>
      <c r="L87" s="91">
        <f>AQ87</f>
        <v>4</v>
      </c>
      <c r="M87" s="160"/>
      <c r="N87" s="162"/>
      <c r="R87" s="108">
        <f>$B$91</f>
        <v>3</v>
      </c>
      <c r="S87" s="109" t="str">
        <f>$C$91</f>
        <v>Ø16</v>
      </c>
      <c r="T87" s="36">
        <f>0.5*(F86-G86*0.5-H86*0.5)+H86-0.0085</f>
        <v>1.6665000000000001</v>
      </c>
      <c r="U87" s="37">
        <f t="shared" ref="U87" si="68">T87*R87</f>
        <v>4.9995000000000003</v>
      </c>
      <c r="V87" s="38">
        <f t="shared" ref="V87" si="69">IF(S87="Ø6",0.222,IF(S87="Ø8",0.395,IF(S87="Ø10",0.617,IF(S87="Ø12",0.888,IF(S87="Ø16",1.578,IF(S87="Ø20",2.47,IF(S87="Ø25",3.85,"NO CONT.")))))))*U87</f>
        <v>7.8892110000000004</v>
      </c>
      <c r="W87" s="108">
        <f>$B$90</f>
        <v>3</v>
      </c>
      <c r="X87" s="109" t="str">
        <f>$C$90</f>
        <v>Ø16</v>
      </c>
      <c r="Y87" s="40">
        <f t="shared" si="63"/>
        <v>1.6665000000000001</v>
      </c>
      <c r="Z87" s="37">
        <f t="shared" si="64"/>
        <v>4.9995000000000003</v>
      </c>
      <c r="AA87" s="38">
        <f t="shared" si="65"/>
        <v>7.8892110000000004</v>
      </c>
      <c r="AB87" s="163">
        <f>H86-0.03</f>
        <v>0.77</v>
      </c>
      <c r="AC87" s="164"/>
      <c r="AD87" s="89">
        <f>ROUNDUP((Y87-AB87-0.28)/$B$93,0)+1</f>
        <v>5</v>
      </c>
      <c r="AE87" s="90" t="str">
        <f>$B$92</f>
        <v>Ø10</v>
      </c>
      <c r="AF87" s="109">
        <f>$B$84-$B$86*2</f>
        <v>0.30000000000000004</v>
      </c>
      <c r="AG87" s="112">
        <f>$B$85-$B$87*2</f>
        <v>0.1</v>
      </c>
      <c r="AH87" s="123">
        <f>$B$93</f>
        <v>0.2</v>
      </c>
      <c r="AI87" s="37">
        <f t="shared" ref="AI87" si="70">(AF87*2+AG87*2+0.14)*AD87</f>
        <v>4.7</v>
      </c>
      <c r="AJ87" s="38">
        <f t="shared" ref="AJ87" si="71">IF(AE87="Ø6",0.222,IF(AE87="Ø8",0.395,IF(AE87="Ø10",0.617,IF(AE87="Ø12",0.888,IF(AE87="Ø16",1.578,IF(AE87="Ø20",2.47,IF(AE87="Ø25",3.85,"NO CONT.")))))))*AI87</f>
        <v>2.8999000000000001</v>
      </c>
      <c r="AK87" s="140"/>
      <c r="AL87" s="142"/>
      <c r="AM87" s="144"/>
      <c r="AN87" s="75"/>
      <c r="AO87" s="146"/>
      <c r="AP87" s="148"/>
      <c r="AQ87" s="89">
        <f>ROUNDUP((Y87-AB87-0.28)/$B$93,0)</f>
        <v>4</v>
      </c>
      <c r="AR87" s="90" t="str">
        <f>$B$92</f>
        <v>Ø10</v>
      </c>
      <c r="AS87" s="109">
        <f>$B$84-$B$86*2</f>
        <v>0.30000000000000004</v>
      </c>
      <c r="AT87" s="112">
        <f>$B$88-$B$87*2</f>
        <v>0.24999999999999997</v>
      </c>
      <c r="AU87" s="37">
        <f t="shared" si="66"/>
        <v>4.9600000000000009</v>
      </c>
      <c r="AV87" s="38">
        <f t="shared" si="67"/>
        <v>3.0603200000000004</v>
      </c>
      <c r="AW87" s="118">
        <f>B91</f>
        <v>3</v>
      </c>
      <c r="AX87" s="99" t="str">
        <f>$C$90</f>
        <v>Ø16</v>
      </c>
      <c r="AY87">
        <v>2.42</v>
      </c>
      <c r="AZ87" s="80">
        <f t="shared" ref="AZ87" si="72">AY87*AW87</f>
        <v>7.26</v>
      </c>
      <c r="BA87" s="41">
        <f t="shared" ref="BA87" si="73">IF(AX87="Ø6",0.222,IF(AX87="Ø8",0.395,IF(AX87="Ø10",0.617,IF(AX87="Ø12",0.888,IF(AX87="Ø16",1.578,IF(AX87="Ø20",2.47,IF(AX87="Ø25",3.85,"NO CONT.")))))))*AZ87</f>
        <v>11.45628</v>
      </c>
      <c r="BB87" s="47">
        <f>BA87+AJ93+AJ87+AA87+V87+AV93+AV87</f>
        <v>35.885041999999999</v>
      </c>
      <c r="BC87" s="150"/>
    </row>
    <row r="88" spans="1:58" ht="15" customHeight="1" x14ac:dyDescent="0.3">
      <c r="A88" s="3" t="s">
        <v>80</v>
      </c>
      <c r="B88" s="57">
        <v>0.35</v>
      </c>
      <c r="C88" s="5" t="s">
        <v>11</v>
      </c>
      <c r="D88" s="3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 s="133"/>
      <c r="AC88" s="133"/>
      <c r="AD88"/>
      <c r="AE88"/>
      <c r="AF88"/>
      <c r="AG88"/>
      <c r="AH88"/>
      <c r="AI88"/>
      <c r="AJ88"/>
      <c r="AK88" s="133"/>
      <c r="AL88" s="133"/>
      <c r="AM88" s="133"/>
      <c r="AN88" s="133"/>
      <c r="AO88" s="133"/>
      <c r="AP88" s="133"/>
      <c r="AQ88"/>
      <c r="AR88"/>
      <c r="AS88"/>
      <c r="AT88"/>
      <c r="AU88"/>
      <c r="AV88"/>
      <c r="AW88"/>
      <c r="AX88"/>
      <c r="AY88"/>
      <c r="AZ88"/>
      <c r="BA88"/>
      <c r="BB88"/>
      <c r="BC88" s="133"/>
      <c r="BD88"/>
      <c r="BE88"/>
      <c r="BF88"/>
    </row>
    <row r="89" spans="1:58" ht="15" customHeight="1" x14ac:dyDescent="0.3">
      <c r="A89" s="18" t="s">
        <v>46</v>
      </c>
      <c r="C89" s="5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 s="133"/>
      <c r="AC89" s="133"/>
      <c r="AD89"/>
      <c r="AE89"/>
      <c r="AF89"/>
      <c r="AG89"/>
      <c r="AH89"/>
      <c r="AI89"/>
      <c r="AJ89"/>
      <c r="AK89" s="133"/>
      <c r="AL89" s="133"/>
      <c r="AM89" s="133"/>
      <c r="AN89" s="133"/>
      <c r="AO89" s="133"/>
      <c r="AP89" s="133"/>
      <c r="AQ89"/>
      <c r="AR89"/>
      <c r="AS89"/>
      <c r="AT89"/>
      <c r="AU89"/>
      <c r="AV89"/>
      <c r="AW89"/>
      <c r="AX89"/>
      <c r="AY89"/>
      <c r="AZ89"/>
      <c r="BA89"/>
      <c r="BB89"/>
      <c r="BC89" s="133"/>
      <c r="BD89"/>
      <c r="BE89"/>
      <c r="BF89"/>
    </row>
    <row r="90" spans="1:58" ht="15" customHeight="1" x14ac:dyDescent="0.3">
      <c r="A90" s="3" t="s">
        <v>48</v>
      </c>
      <c r="B90" s="102">
        <v>3</v>
      </c>
      <c r="C90" s="103" t="s">
        <v>49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 s="133"/>
      <c r="AC90" s="133"/>
      <c r="AD90" s="136" t="s">
        <v>18</v>
      </c>
      <c r="AE90" s="137"/>
      <c r="AF90" s="137"/>
      <c r="AG90" s="137"/>
      <c r="AH90" s="137"/>
      <c r="AI90" s="137"/>
      <c r="AJ90" s="138"/>
      <c r="AQ90" s="136" t="s">
        <v>81</v>
      </c>
      <c r="AR90" s="137"/>
      <c r="AS90" s="137"/>
      <c r="AT90" s="137"/>
      <c r="AU90" s="137"/>
      <c r="AV90" s="138"/>
      <c r="AW90"/>
      <c r="AX90"/>
      <c r="AY90"/>
      <c r="AZ90"/>
      <c r="BA90"/>
      <c r="BB90"/>
      <c r="BC90" s="133"/>
      <c r="BD90"/>
      <c r="BE90"/>
      <c r="BF90"/>
    </row>
    <row r="91" spans="1:58" ht="15" customHeight="1" x14ac:dyDescent="0.3">
      <c r="A91" s="3" t="s">
        <v>52</v>
      </c>
      <c r="B91" s="102">
        <f>B90</f>
        <v>3</v>
      </c>
      <c r="C91" s="103" t="str">
        <f>C90</f>
        <v>Ø16</v>
      </c>
      <c r="D91" s="53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 s="133"/>
      <c r="AC91" s="133"/>
      <c r="AD91" s="89" t="s">
        <v>35</v>
      </c>
      <c r="AE91" s="90" t="s">
        <v>36</v>
      </c>
      <c r="AF91" s="90" t="s">
        <v>38</v>
      </c>
      <c r="AG91" s="91" t="s">
        <v>39</v>
      </c>
      <c r="AH91" s="28"/>
      <c r="AI91" s="28" t="s">
        <v>37</v>
      </c>
      <c r="AJ91" s="27" t="s">
        <v>31</v>
      </c>
      <c r="AQ91" s="89" t="s">
        <v>35</v>
      </c>
      <c r="AR91" s="90" t="s">
        <v>36</v>
      </c>
      <c r="AS91" s="90" t="s">
        <v>38</v>
      </c>
      <c r="AT91" s="91" t="s">
        <v>39</v>
      </c>
      <c r="AU91" s="28" t="s">
        <v>37</v>
      </c>
      <c r="AV91" s="27" t="s">
        <v>31</v>
      </c>
      <c r="AW91"/>
      <c r="AX91"/>
      <c r="AY91"/>
      <c r="AZ91"/>
      <c r="BA91"/>
      <c r="BB91"/>
      <c r="BC91" s="133"/>
      <c r="BD91"/>
      <c r="BE91"/>
      <c r="BF91"/>
    </row>
    <row r="92" spans="1:58" ht="15" customHeight="1" x14ac:dyDescent="0.3">
      <c r="A92" s="3" t="s">
        <v>56</v>
      </c>
      <c r="B92" s="104" t="s">
        <v>57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 s="134" t="s">
        <v>47</v>
      </c>
      <c r="U92" s="134"/>
      <c r="V92" s="134"/>
      <c r="W92" s="134"/>
      <c r="X92" s="134"/>
      <c r="Y92" s="134"/>
      <c r="Z92"/>
      <c r="AA92"/>
      <c r="AB92" s="133"/>
      <c r="AC92" s="133"/>
      <c r="AD92" s="110">
        <v>2</v>
      </c>
      <c r="AE92" s="111" t="str">
        <f>$B$92</f>
        <v>Ø10</v>
      </c>
      <c r="AF92" s="93">
        <f>$B$84-$B$86*2</f>
        <v>0.30000000000000004</v>
      </c>
      <c r="AG92" s="94">
        <f>$B$95-$B$97*2</f>
        <v>0.1</v>
      </c>
      <c r="AH92" s="33"/>
      <c r="AI92" s="31">
        <f>(AF92*2+AG92*2+0.14)*AD92</f>
        <v>1.8800000000000001</v>
      </c>
      <c r="AJ92" s="32">
        <f>IF(AE92="Ø6",0.222,IF(AE92="Ø8",0.395,IF(AE92="Ø10",0.617,IF(AE92="Ø12",0.888,IF(AE92="Ø16",1.578,IF(AE92="Ø20",2.47,IF(AE92="Ø25",3.85,"NO CONT.")))))))*AI92</f>
        <v>1.1599600000000001</v>
      </c>
      <c r="AQ92" s="110">
        <v>2</v>
      </c>
      <c r="AR92" s="111" t="str">
        <f>$B$92</f>
        <v>Ø10</v>
      </c>
      <c r="AS92" s="93">
        <f>$B$84-$B$86*2</f>
        <v>0.30000000000000004</v>
      </c>
      <c r="AT92" s="94">
        <f>$B$88-$B$87*2</f>
        <v>0.24999999999999997</v>
      </c>
      <c r="AU92" s="31">
        <f>(AS92*2+AT92*2+0.14)*AQ92</f>
        <v>2.4800000000000004</v>
      </c>
      <c r="AV92" s="32">
        <f>IF(AR92="Ø6",0.222,IF(AR92="Ø8",0.395,IF(AR92="Ø10",0.617,IF(AR92="Ø12",0.888,IF(AR92="Ø16",1.578,IF(AR92="Ø20",2.47,IF(AR92="Ø25",3.85,"NO CONT.")))))))*AU92</f>
        <v>1.5301600000000002</v>
      </c>
      <c r="AW92"/>
      <c r="AX92"/>
      <c r="AY92"/>
      <c r="AZ92"/>
      <c r="BA92"/>
      <c r="BB92"/>
      <c r="BC92" s="133"/>
      <c r="BD92"/>
      <c r="BE92"/>
      <c r="BF92"/>
    </row>
    <row r="93" spans="1:58" ht="15" customHeight="1" x14ac:dyDescent="0.3">
      <c r="A93" s="8" t="s">
        <v>58</v>
      </c>
      <c r="B93" s="105">
        <v>0.2</v>
      </c>
      <c r="C93" s="5" t="s">
        <v>11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 s="135" t="s">
        <v>69</v>
      </c>
      <c r="U93" s="135"/>
      <c r="V93" s="135"/>
      <c r="W93" s="135" t="s">
        <v>51</v>
      </c>
      <c r="X93" s="135"/>
      <c r="Y93" s="135"/>
      <c r="Z93"/>
      <c r="AA93"/>
      <c r="AB93" s="133"/>
      <c r="AC93" s="133"/>
      <c r="AD93" s="89">
        <v>2</v>
      </c>
      <c r="AE93" s="90" t="str">
        <f>$B$92</f>
        <v>Ø10</v>
      </c>
      <c r="AF93" s="109">
        <f>$B$84-$B$86*2</f>
        <v>0.30000000000000004</v>
      </c>
      <c r="AG93" s="112">
        <f>$B$95-$B$97*2</f>
        <v>0.1</v>
      </c>
      <c r="AH93" s="39"/>
      <c r="AI93" s="37">
        <f t="shared" ref="AI93" si="74">(AF93*2+AG93*2+0.14)*AD93</f>
        <v>1.8800000000000001</v>
      </c>
      <c r="AJ93" s="38">
        <f t="shared" ref="AJ93" si="75">IF(AE93="Ø6",0.222,IF(AE93="Ø8",0.395,IF(AE93="Ø10",0.617,IF(AE93="Ø12",0.888,IF(AE93="Ø16",1.578,IF(AE93="Ø20",2.47,IF(AE93="Ø25",3.85,"NO CONT.")))))))*AI93</f>
        <v>1.1599600000000001</v>
      </c>
      <c r="AQ93" s="89">
        <v>2</v>
      </c>
      <c r="AR93" s="90" t="str">
        <f>$B$92</f>
        <v>Ø10</v>
      </c>
      <c r="AS93" s="109">
        <f>$B$84-$B$86*2</f>
        <v>0.30000000000000004</v>
      </c>
      <c r="AT93" s="112">
        <f>$B$88-$B$87*2</f>
        <v>0.24999999999999997</v>
      </c>
      <c r="AU93" s="37">
        <f t="shared" ref="AU93" si="76">(AS93*2+AT93*2+0.14)*AQ93</f>
        <v>2.4800000000000004</v>
      </c>
      <c r="AV93" s="38">
        <f t="shared" ref="AV93" si="77">IF(AR93="Ø6",0.222,IF(AR93="Ø8",0.395,IF(AR93="Ø10",0.617,IF(AR93="Ø12",0.888,IF(AR93="Ø16",1.578,IF(AR93="Ø20",2.47,IF(AR93="Ø25",3.85,"NO CONT.")))))))*AU93</f>
        <v>1.5301600000000002</v>
      </c>
      <c r="AW93"/>
      <c r="AX93"/>
      <c r="AY93"/>
      <c r="AZ93"/>
      <c r="BA93"/>
      <c r="BB93"/>
      <c r="BC93" s="133"/>
      <c r="BD93"/>
      <c r="BE93"/>
      <c r="BF93"/>
    </row>
    <row r="94" spans="1:58" ht="15" customHeight="1" x14ac:dyDescent="0.3">
      <c r="A94" s="10" t="s">
        <v>59</v>
      </c>
      <c r="B94" s="7"/>
      <c r="C94" s="8"/>
      <c r="D94" s="9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 s="127" t="s">
        <v>53</v>
      </c>
      <c r="U94" s="127" t="s">
        <v>54</v>
      </c>
      <c r="V94" s="127" t="s">
        <v>55</v>
      </c>
      <c r="W94" s="127" t="s">
        <v>53</v>
      </c>
      <c r="X94" s="127" t="s">
        <v>54</v>
      </c>
      <c r="Y94" s="127" t="s">
        <v>55</v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 s="133"/>
      <c r="BD94"/>
      <c r="BE94"/>
      <c r="BF94"/>
    </row>
    <row r="95" spans="1:58" ht="15" customHeight="1" x14ac:dyDescent="0.3">
      <c r="A95" s="3" t="s">
        <v>60</v>
      </c>
      <c r="B95" s="105">
        <v>0.2</v>
      </c>
      <c r="C95" s="52" t="s">
        <v>11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 s="126" t="s">
        <v>84</v>
      </c>
      <c r="T95" s="122">
        <f>AF92+($B$87*2)</f>
        <v>0.4</v>
      </c>
      <c r="U95" s="122">
        <f>AG92+($B$86*2)</f>
        <v>0.25</v>
      </c>
      <c r="V95" s="122">
        <f>J86</f>
        <v>1.47</v>
      </c>
      <c r="W95" s="122">
        <f>AS92+($B$87*2)</f>
        <v>0.4</v>
      </c>
      <c r="X95" s="122">
        <f>AT92+($B$86*2)</f>
        <v>0.39999999999999997</v>
      </c>
      <c r="Y95" s="122">
        <f>$M$86</f>
        <v>1.65</v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s="133"/>
      <c r="BD95"/>
      <c r="BE95"/>
      <c r="BF95"/>
    </row>
    <row r="96" spans="1:58" ht="15" customHeight="1" x14ac:dyDescent="0.3">
      <c r="A96" s="3"/>
      <c r="B96" s="54" t="s">
        <v>61</v>
      </c>
      <c r="C96" s="8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 s="126" t="s">
        <v>85</v>
      </c>
      <c r="T96" s="122">
        <f>AF93+($B$87*2)</f>
        <v>0.4</v>
      </c>
      <c r="U96" s="122">
        <f>AG93+($B$86*2)</f>
        <v>0.25</v>
      </c>
      <c r="V96" s="122">
        <f>J87</f>
        <v>0.77</v>
      </c>
      <c r="W96" s="122">
        <f>AS93+($B$87*2)</f>
        <v>0.4</v>
      </c>
      <c r="X96" s="122">
        <f>AT93+($B$86*2)</f>
        <v>0.39999999999999997</v>
      </c>
      <c r="Y96" s="122">
        <f>$M$86</f>
        <v>1.65</v>
      </c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s="133"/>
      <c r="BD96"/>
      <c r="BE96"/>
      <c r="BF96"/>
    </row>
    <row r="97" spans="1:58" ht="15" customHeight="1" x14ac:dyDescent="0.3">
      <c r="A97" s="3" t="s">
        <v>62</v>
      </c>
      <c r="B97" s="106">
        <v>0.05</v>
      </c>
      <c r="C97" s="5" t="s">
        <v>11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s="133"/>
      <c r="BD97"/>
      <c r="BE97"/>
      <c r="BF97"/>
    </row>
    <row r="98" spans="1:58" ht="15" customHeight="1" x14ac:dyDescent="0.3">
      <c r="C98" s="17"/>
      <c r="K98" s="64" t="s">
        <v>63</v>
      </c>
      <c r="R98" s="23"/>
      <c r="S98" s="23"/>
      <c r="T98" s="23"/>
      <c r="U98" s="23"/>
      <c r="V98" s="23"/>
      <c r="W98" s="23"/>
      <c r="X98" s="23"/>
      <c r="Y98" s="23"/>
      <c r="Z98" s="48"/>
      <c r="AA98" s="23"/>
      <c r="AB98" s="23"/>
      <c r="AC98" s="23"/>
      <c r="AW98" s="5"/>
      <c r="AX98" s="5"/>
      <c r="AY98" s="5"/>
      <c r="AZ98" s="5"/>
      <c r="BA98" s="5"/>
      <c r="BB98" s="5"/>
      <c r="BC98" s="5"/>
    </row>
    <row r="100" spans="1:58" x14ac:dyDescent="0.3">
      <c r="G100" s="1" t="s">
        <v>91</v>
      </c>
    </row>
    <row r="102" spans="1:58" x14ac:dyDescent="0.3"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</row>
    <row r="103" spans="1:58" x14ac:dyDescent="0.3"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</row>
    <row r="104" spans="1:58" x14ac:dyDescent="0.3">
      <c r="A104" s="18"/>
      <c r="D104" s="23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</row>
    <row r="105" spans="1:58" x14ac:dyDescent="0.3"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</row>
    <row r="106" spans="1:58" x14ac:dyDescent="0.3"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</row>
    <row r="107" spans="1:58" x14ac:dyDescent="0.3"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</row>
    <row r="108" spans="1:58" x14ac:dyDescent="0.3"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</row>
    <row r="109" spans="1:58" x14ac:dyDescent="0.3"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</row>
    <row r="110" spans="1:58" x14ac:dyDescent="0.3"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</row>
    <row r="111" spans="1:58" x14ac:dyDescent="0.3"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</row>
    <row r="112" spans="1:58" x14ac:dyDescent="0.3"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</row>
  </sheetData>
  <mergeCells count="146">
    <mergeCell ref="T92:Y92"/>
    <mergeCell ref="T93:V93"/>
    <mergeCell ref="W93:Y93"/>
    <mergeCell ref="M1:N1"/>
    <mergeCell ref="M2:N2"/>
    <mergeCell ref="O1:R1"/>
    <mergeCell ref="T14:V14"/>
    <mergeCell ref="W14:Y14"/>
    <mergeCell ref="T13:Y13"/>
    <mergeCell ref="R45:BA45"/>
    <mergeCell ref="R26:BA26"/>
    <mergeCell ref="AB85:AC85"/>
    <mergeCell ref="AB77:AC77"/>
    <mergeCell ref="T71:V71"/>
    <mergeCell ref="W71:Y71"/>
    <mergeCell ref="R64:BA64"/>
    <mergeCell ref="BC86:BC87"/>
    <mergeCell ref="BC96:BC97"/>
    <mergeCell ref="AD90:AJ90"/>
    <mergeCell ref="AQ90:AV90"/>
    <mergeCell ref="BC90:BC91"/>
    <mergeCell ref="AB91:AC91"/>
    <mergeCell ref="BC88:BC89"/>
    <mergeCell ref="AB89:AC89"/>
    <mergeCell ref="AN88:AN89"/>
    <mergeCell ref="AO88:AO89"/>
    <mergeCell ref="AP88:AP89"/>
    <mergeCell ref="BC94:BC95"/>
    <mergeCell ref="BC92:BC93"/>
    <mergeCell ref="AB93:AC93"/>
    <mergeCell ref="AB92:AC92"/>
    <mergeCell ref="AB90:AC90"/>
    <mergeCell ref="AK88:AK89"/>
    <mergeCell ref="AL88:AL89"/>
    <mergeCell ref="AM88:AM89"/>
    <mergeCell ref="AB88:AC88"/>
    <mergeCell ref="F86:F87"/>
    <mergeCell ref="G86:G87"/>
    <mergeCell ref="H86:H87"/>
    <mergeCell ref="M86:M87"/>
    <mergeCell ref="N86:N87"/>
    <mergeCell ref="AB86:AC86"/>
    <mergeCell ref="AB87:AC87"/>
    <mergeCell ref="R83:BA83"/>
    <mergeCell ref="I84:J84"/>
    <mergeCell ref="K84:L84"/>
    <mergeCell ref="R84:V84"/>
    <mergeCell ref="W84:AA84"/>
    <mergeCell ref="AD84:AJ84"/>
    <mergeCell ref="AK84:AP84"/>
    <mergeCell ref="AQ84:AV84"/>
    <mergeCell ref="AW84:BA84"/>
    <mergeCell ref="AK86:AK87"/>
    <mergeCell ref="AL86:AL87"/>
    <mergeCell ref="AM86:AM87"/>
    <mergeCell ref="AO86:AO87"/>
    <mergeCell ref="AP86:AP87"/>
    <mergeCell ref="BC77:BC78"/>
    <mergeCell ref="AB78:AC78"/>
    <mergeCell ref="AB75:AC75"/>
    <mergeCell ref="BC75:BC76"/>
    <mergeCell ref="AB76:AC76"/>
    <mergeCell ref="AB73:AC73"/>
    <mergeCell ref="BC73:BC74"/>
    <mergeCell ref="AB74:AC74"/>
    <mergeCell ref="AB71:AC71"/>
    <mergeCell ref="BC71:BC72"/>
    <mergeCell ref="AB72:AC72"/>
    <mergeCell ref="BC67:BC68"/>
    <mergeCell ref="AB68:AC68"/>
    <mergeCell ref="AB69:AC69"/>
    <mergeCell ref="BC69:BC70"/>
    <mergeCell ref="AB70:AC70"/>
    <mergeCell ref="T70:Y70"/>
    <mergeCell ref="AB66:AC66"/>
    <mergeCell ref="F67:F68"/>
    <mergeCell ref="G67:G68"/>
    <mergeCell ref="H67:H68"/>
    <mergeCell ref="L67:L68"/>
    <mergeCell ref="AB67:AC67"/>
    <mergeCell ref="I65:J65"/>
    <mergeCell ref="R65:V65"/>
    <mergeCell ref="W65:AA65"/>
    <mergeCell ref="AD65:AJ65"/>
    <mergeCell ref="AK65:AP65"/>
    <mergeCell ref="AQ65:AV65"/>
    <mergeCell ref="AW65:BA65"/>
    <mergeCell ref="BC56:BC57"/>
    <mergeCell ref="BC58:BC59"/>
    <mergeCell ref="BC52:BC53"/>
    <mergeCell ref="BC54:BC55"/>
    <mergeCell ref="T52:V52"/>
    <mergeCell ref="W52:Y52"/>
    <mergeCell ref="F48:F49"/>
    <mergeCell ref="G48:G49"/>
    <mergeCell ref="H48:H49"/>
    <mergeCell ref="N48:N49"/>
    <mergeCell ref="BC48:BC49"/>
    <mergeCell ref="BC50:BC51"/>
    <mergeCell ref="T51:Y51"/>
    <mergeCell ref="J46:L46"/>
    <mergeCell ref="R46:V46"/>
    <mergeCell ref="W46:AC46"/>
    <mergeCell ref="AD46:AJ46"/>
    <mergeCell ref="AK46:AP46"/>
    <mergeCell ref="AQ46:AV46"/>
    <mergeCell ref="AW46:BA46"/>
    <mergeCell ref="BC37:BC38"/>
    <mergeCell ref="BC39:BC40"/>
    <mergeCell ref="BC33:BC34"/>
    <mergeCell ref="BC35:BC36"/>
    <mergeCell ref="T33:V33"/>
    <mergeCell ref="W33:Y33"/>
    <mergeCell ref="F29:F30"/>
    <mergeCell ref="G29:G30"/>
    <mergeCell ref="H29:H30"/>
    <mergeCell ref="N29:N30"/>
    <mergeCell ref="BC29:BC30"/>
    <mergeCell ref="BC31:BC32"/>
    <mergeCell ref="T32:Y32"/>
    <mergeCell ref="J27:L27"/>
    <mergeCell ref="R27:V27"/>
    <mergeCell ref="W27:AC27"/>
    <mergeCell ref="AD27:AJ27"/>
    <mergeCell ref="AK27:AP27"/>
    <mergeCell ref="AQ27:AV27"/>
    <mergeCell ref="AW27:BA27"/>
    <mergeCell ref="BC18:BC19"/>
    <mergeCell ref="BC20:BC21"/>
    <mergeCell ref="BC14:BC15"/>
    <mergeCell ref="BC16:BC17"/>
    <mergeCell ref="F10:F11"/>
    <mergeCell ref="G10:G11"/>
    <mergeCell ref="H10:H11"/>
    <mergeCell ref="N10:N11"/>
    <mergeCell ref="BC10:BC11"/>
    <mergeCell ref="BC12:BC13"/>
    <mergeCell ref="K5:N5"/>
    <mergeCell ref="R7:BA7"/>
    <mergeCell ref="J8:L8"/>
    <mergeCell ref="R8:V8"/>
    <mergeCell ref="W8:AC8"/>
    <mergeCell ref="AD8:AJ8"/>
    <mergeCell ref="AK8:AP8"/>
    <mergeCell ref="AQ8:AV8"/>
    <mergeCell ref="AW8:BA8"/>
  </mergeCells>
  <conditionalFormatting sqref="F10:F22">
    <cfRule type="cellIs" dxfId="27" priority="23" operator="greaterThan">
      <formula>8</formula>
    </cfRule>
    <cfRule type="cellIs" dxfId="26" priority="24" operator="lessThan">
      <formula>7</formula>
    </cfRule>
  </conditionalFormatting>
  <conditionalFormatting sqref="F29:F40 F67:F78 F86:F97">
    <cfRule type="cellIs" dxfId="25" priority="30" operator="greaterThan">
      <formula>7</formula>
    </cfRule>
    <cfRule type="cellIs" dxfId="24" priority="32" operator="lessThan">
      <formula>2</formula>
    </cfRule>
  </conditionalFormatting>
  <conditionalFormatting sqref="F48:F59">
    <cfRule type="cellIs" dxfId="23" priority="28" operator="greaterThan">
      <formula>4.6</formula>
    </cfRule>
    <cfRule type="cellIs" dxfId="22" priority="29" operator="lessThan">
      <formula>3.2</formula>
    </cfRule>
  </conditionalFormatting>
  <conditionalFormatting sqref="G10:H22 G29:H40 G48:H59 G67:H78 G86:H97">
    <cfRule type="cellIs" dxfId="21" priority="25" operator="lessThan">
      <formula>0.8</formula>
    </cfRule>
    <cfRule type="cellIs" dxfId="20" priority="26" operator="greaterThan">
      <formula>1.5</formula>
    </cfRule>
  </conditionalFormatting>
  <conditionalFormatting sqref="L10:L22 L29:L40">
    <cfRule type="cellIs" dxfId="19" priority="31" operator="lessThan">
      <formula>1.19</formula>
    </cfRule>
  </conditionalFormatting>
  <conditionalFormatting sqref="L48:L59">
    <cfRule type="cellIs" dxfId="18" priority="27" operator="lessThan">
      <formula>0.82</formula>
    </cfRule>
  </conditionalFormatting>
  <conditionalFormatting sqref="T86:T87">
    <cfRule type="cellIs" dxfId="17" priority="21" operator="lessThan">
      <formula>1.31</formula>
    </cfRule>
  </conditionalFormatting>
  <conditionalFormatting sqref="AA48:AA49">
    <cfRule type="cellIs" dxfId="16" priority="22" operator="lessThan">
      <formula>0.82</formula>
    </cfRule>
  </conditionalFormatting>
  <conditionalFormatting sqref="AB67:AC67">
    <cfRule type="cellIs" dxfId="15" priority="20" operator="greaterThan">
      <formula>$Y$67-0.41</formula>
    </cfRule>
  </conditionalFormatting>
  <conditionalFormatting sqref="AB68:AC68">
    <cfRule type="cellIs" dxfId="14" priority="19" operator="greaterThan">
      <formula>$Y$68-0.41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035E458-15E6-4E5A-83AA-229E4C4406D3}">
          <x14:formula1>
            <xm:f>Full2!A1:A7</xm:f>
          </x14:formula1>
          <xm:sqref>B35 B92 C90 C33 B54 C52 B73 C71 B16 C14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8" sqref="A8"/>
    </sheetView>
  </sheetViews>
  <sheetFormatPr baseColWidth="10" defaultColWidth="9.109375" defaultRowHeight="14.4" x14ac:dyDescent="0.3"/>
  <sheetData>
    <row r="1" spans="1:1" x14ac:dyDescent="0.3">
      <c r="A1">
        <v>6</v>
      </c>
    </row>
    <row r="2" spans="1:1" x14ac:dyDescent="0.3">
      <c r="A2">
        <v>8</v>
      </c>
    </row>
    <row r="3" spans="1:1" x14ac:dyDescent="0.3">
      <c r="A3">
        <v>10</v>
      </c>
    </row>
    <row r="4" spans="1:1" x14ac:dyDescent="0.3">
      <c r="A4">
        <v>12</v>
      </c>
    </row>
    <row r="5" spans="1:1" x14ac:dyDescent="0.3">
      <c r="A5">
        <v>16</v>
      </c>
    </row>
    <row r="6" spans="1:1" x14ac:dyDescent="0.3">
      <c r="A6">
        <v>20</v>
      </c>
    </row>
    <row r="7" spans="1:1" x14ac:dyDescent="0.3">
      <c r="A7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80e747-05b6-42d0-bdbe-2c029da526b6" xsi:nil="true"/>
    <lcf76f155ced4ddcb4097134ff3c332f xmlns="7f11ac00-251a-46b3-a8a2-dc76332d9f8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69C3A2E18D564B86724B76533A91B3" ma:contentTypeVersion="14" ma:contentTypeDescription="Crear nuevo documento." ma:contentTypeScope="" ma:versionID="23e78246119e0dd71b3d1c4b63baff03">
  <xsd:schema xmlns:xsd="http://www.w3.org/2001/XMLSchema" xmlns:xs="http://www.w3.org/2001/XMLSchema" xmlns:p="http://schemas.microsoft.com/office/2006/metadata/properties" xmlns:ns2="7f11ac00-251a-46b3-a8a2-dc76332d9f8e" xmlns:ns3="7a80e747-05b6-42d0-bdbe-2c029da526b6" targetNamespace="http://schemas.microsoft.com/office/2006/metadata/properties" ma:root="true" ma:fieldsID="71ed685df6e478f5f8fb5f8a5cec196f" ns2:_="" ns3:_="">
    <xsd:import namespace="7f11ac00-251a-46b3-a8a2-dc76332d9f8e"/>
    <xsd:import namespace="7a80e747-05b6-42d0-bdbe-2c029da526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1ac00-251a-46b3-a8a2-dc76332d9f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73dfa01-b6fb-445f-98e2-f22db4c3e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0e747-05b6-42d0-bdbe-2c029da526b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83b852f-5d08-41df-90bd-87516e6f38ec}" ma:internalName="TaxCatchAll" ma:showField="CatchAllData" ma:web="7a80e747-05b6-42d0-bdbe-2c029da526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6E194C-8022-4EEA-A804-434A435542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FB5C37-EC18-4003-A65E-E9393A8AB378}">
  <ds:schemaRefs>
    <ds:schemaRef ds:uri="http://schemas.microsoft.com/office/2006/metadata/properties"/>
    <ds:schemaRef ds:uri="http://schemas.microsoft.com/office/infopath/2007/PartnerControls"/>
    <ds:schemaRef ds:uri="7a80e747-05b6-42d0-bdbe-2c029da526b6"/>
    <ds:schemaRef ds:uri="7f11ac00-251a-46b3-a8a2-dc76332d9f8e"/>
  </ds:schemaRefs>
</ds:datastoreItem>
</file>

<file path=customXml/itemProps3.xml><?xml version="1.0" encoding="utf-8"?>
<ds:datastoreItem xmlns:ds="http://schemas.openxmlformats.org/officeDocument/2006/customXml" ds:itemID="{7A0C467D-D63F-4CC0-B3DB-1718D3B90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11ac00-251a-46b3-a8a2-dc76332d9f8e"/>
    <ds:schemaRef ds:uri="7a80e747-05b6-42d0-bdbe-2c029da526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CE2022 2 PECES</vt:lpstr>
      <vt:lpstr>COPIA</vt:lpstr>
      <vt:lpstr>CE2022 2 PECES_old</vt:lpstr>
      <vt:lpstr>Full2</vt:lpstr>
      <vt:lpstr>Full3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usuari1</dc:creator>
  <cp:keywords/>
  <dc:description/>
  <cp:lastModifiedBy>Juan Matias Rizzi</cp:lastModifiedBy>
  <cp:revision/>
  <dcterms:created xsi:type="dcterms:W3CDTF">2016-06-15T10:36:23Z</dcterms:created>
  <dcterms:modified xsi:type="dcterms:W3CDTF">2025-08-22T14:59:14Z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0x0101009169C3A2E18D564B86724B76533A91B3</vt:lpwstr>
  </property>
  <property fmtid="{D5CDD505-2E9C-101B-9397-08002B2CF9AE}" pid="3" name="MediaServiceImageTags">
    <vt:lpwstr/>
  </property>
</Properties>
</file>